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k/Documents/sqlserver-docker/Monthly cash flow/analysis/output/"/>
    </mc:Choice>
  </mc:AlternateContent>
  <xr:revisionPtr revIDLastSave="0" documentId="13_ncr:1_{425780AF-053D-CD41-BCD5-229B0EDE94BC}" xr6:coauthVersionLast="47" xr6:coauthVersionMax="47" xr10:uidLastSave="{00000000-0000-0000-0000-000000000000}"/>
  <bookViews>
    <workbookView xWindow="17120" yWindow="600" windowWidth="34560" windowHeight="20440" firstSheet="5" activeTab="14" xr2:uid="{00000000-000D-0000-FFFF-FFFF00000000}"/>
  </bookViews>
  <sheets>
    <sheet name="١. ملخص تنفيذي" sheetId="1" r:id="rId1"/>
    <sheet name="٢. التدفق الشهري" sheetId="2" r:id="rId2"/>
    <sheet name="٣. التدفق التشغيلي" sheetId="3" r:id="rId3"/>
    <sheet name="٤. تفصيل المقبوضات" sheetId="4" r:id="rId4"/>
    <sheet name="٥. تفصيل المصروفات" sheetId="5" r:id="rId5"/>
    <sheet name="٦. الموردون شهري" sheetId="6" r:id="rId6"/>
    <sheet name="٧. الأرصدة الحالية" sheetId="7" r:id="rId7"/>
    <sheet name="٨. الأقساط المفتوحة" sheetId="8" r:id="rId8"/>
    <sheet name="٩. النمط الموسمي" sheetId="9" r:id="rId9"/>
    <sheet name="١٠. اختبار صحة التنبؤ" sheetId="10" r:id="rId10"/>
    <sheet name="١١. تنبيهات السيولة" sheetId="11" r:id="rId11"/>
    <sheet name="١١ب توزيع موردين تنبؤي" sheetId="12" r:id="rId12"/>
    <sheet name="١٣ خطة السداد المتوقعة" sheetId="13" r:id="rId13"/>
    <sheet name="١١ج نظرة شاملة" sheetId="14" r:id="rId14"/>
    <sheet name="١٤ خطة السداد" sheetId="15" r:id="rId15"/>
    <sheet name="١٢. التحقق المحاسبي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3" l="1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</calcChain>
</file>

<file path=xl/sharedStrings.xml><?xml version="1.0" encoding="utf-8"?>
<sst xmlns="http://schemas.openxmlformats.org/spreadsheetml/2006/main" count="1103" uniqueCount="366">
  <si>
    <t>تقرير تحليل السيولة النقدية - معرض البيت السعيد</t>
  </si>
  <si>
    <t>تاريخ التقرير: 2026-05-13 | سعر صرف الدولار المعتمد: 1,350 د.ع</t>
  </si>
  <si>
    <t>الإجماليات السنوية (بالمليون دينار)</t>
  </si>
  <si>
    <t>السنة المالية</t>
  </si>
  <si>
    <t>مقبوضات سنوي</t>
  </si>
  <si>
    <t>مصروفات سنوي</t>
  </si>
  <si>
    <t>صافي سنوي</t>
  </si>
  <si>
    <t>متوسط مقبوضات شهري</t>
  </si>
  <si>
    <t>متوسط مصروفات شهري</t>
  </si>
  <si>
    <t>صافي شهري</t>
  </si>
  <si>
    <t>أشهر</t>
  </si>
  <si>
    <t>2022-2023</t>
  </si>
  <si>
    <t>2023-2024</t>
  </si>
  <si>
    <t>2024-2025</t>
  </si>
  <si>
    <t>2025-2026</t>
  </si>
  <si>
    <t>تنبؤ السنة القادمة 2026-2027 (بالمليون دينار)</t>
  </si>
  <si>
    <t>إجمالي مقبوضات متوقع</t>
  </si>
  <si>
    <t>إجمالي مصروفات متوقع</t>
  </si>
  <si>
    <t>صافي متوقع - متفائل</t>
  </si>
  <si>
    <t>صافي متوقع - متحفظ (بعد احتياطي 15M/شهر)</t>
  </si>
  <si>
    <t>صافي متوقع - متشائم (بعد سحوبات الشركاء التاريخية)</t>
  </si>
  <si>
    <t>تنبيهات السيولة المتوقعة</t>
  </si>
  <si>
    <t>✓ لا أشهر متوقع فيها عجز سيولة</t>
  </si>
  <si>
    <t>معدلات النمو (CAGR) ودقة التنبؤ</t>
  </si>
  <si>
    <t>السلسلة</t>
  </si>
  <si>
    <t>CAGR</t>
  </si>
  <si>
    <t>MAPE (دقة)</t>
  </si>
  <si>
    <t>ثقة</t>
  </si>
  <si>
    <t>مقبوضات</t>
  </si>
  <si>
    <t>عالية</t>
  </si>
  <si>
    <t>موردون</t>
  </si>
  <si>
    <t>منخفضة</t>
  </si>
  <si>
    <t>أجور</t>
  </si>
  <si>
    <t>متوسطة</t>
  </si>
  <si>
    <t>مشتريات</t>
  </si>
  <si>
    <t>مرتجعات</t>
  </si>
  <si>
    <t>سحوبات</t>
  </si>
  <si>
    <t>أخرى</t>
  </si>
  <si>
    <t>الأقساط المفتوحة (مستحقة من الزبائن)</t>
  </si>
  <si>
    <t>عدد الخطط النشطة</t>
  </si>
  <si>
    <t>إجمالي الالتزامات (مليون د.ع)</t>
  </si>
  <si>
    <t>المُحصّل حتى الآن</t>
  </si>
  <si>
    <t>المتبقي على الزبائن</t>
  </si>
  <si>
    <t>الشهر</t>
  </si>
  <si>
    <t>مصروفات إجمالي</t>
  </si>
  <si>
    <t>صافي إجمالي</t>
  </si>
  <si>
    <t>صافي تشغيلي</t>
  </si>
  <si>
    <t>صافي متحفظ</t>
  </si>
  <si>
    <t>صافي متشائم</t>
  </si>
  <si>
    <t>متوقع؟</t>
  </si>
  <si>
    <t>عدد سندات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</si>
  <si>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</si>
  <si>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</si>
  <si>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</si>
  <si>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</si>
  <si>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</si>
  <si>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</si>
  <si>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</si>
  <si>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</si>
  <si>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</si>
  <si>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</si>
  <si>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</si>
  <si>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</si>
  <si>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</si>
  <si>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</si>
  <si>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</si>
  <si>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</si>
  <si>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</si>
  <si>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</si>
  <si>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</si>
  <si>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</si>
  <si>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</si>
  <si>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</si>
  <si>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</si>
  <si>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</si>
  <si>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</si>
  <si>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</si>
  <si>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</si>
  <si>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</si>
  <si>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</si>
  <si>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</si>
  <si>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</si>
  <si>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</si>
  <si>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</si>
  <si>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</si>
  <si>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</si>
  <si>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</si>
  <si>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</si>
  <si>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</si>
  <si>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</si>
  <si>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</si>
  <si>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</si>
  <si>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</si>
  <si>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</si>
  <si>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</si>
  <si>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</si>
  <si>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</si>
  <si>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</si>
  <si>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</si>
  <si>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</si>
  <si>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</si>
  <si>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</si>
  <si>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</si>
  <si>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</si>
  <si>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</si>
  <si>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</si>
  <si>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</si>
  <si>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</si>
  <si>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</si>
  <si>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</si>
  <si>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</si>
  <si>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مصروفات تشغيلية</t>
  </si>
  <si>
    <t>ملاحظة: نوع 1631 (زبائن أقساط/قطاع خاص) يهيمن على ~98% من المقبوضات</t>
  </si>
  <si>
    <t>مقبوضات (مليون)</t>
  </si>
  <si>
    <t>عدد السندات</t>
  </si>
  <si>
    <t>سحوبات شركاء</t>
  </si>
  <si>
    <t>🔄 صيرفة (دينار→دولار)</t>
  </si>
  <si>
    <t>الإجمالي الشامل</t>
  </si>
  <si>
    <t>01-معرض البركة</t>
  </si>
  <si>
    <t>02-هيثم</t>
  </si>
  <si>
    <t>03-وميض</t>
  </si>
  <si>
    <t>04-حميد الشطباوي</t>
  </si>
  <si>
    <t>05-معرض الهادي</t>
  </si>
  <si>
    <t>06-معرض اولاد شفيق</t>
  </si>
  <si>
    <t>07-العطاوي للمفروشات</t>
  </si>
  <si>
    <t>08-شركة اصل القمة</t>
  </si>
  <si>
    <t>09-قاسم بايسكلات</t>
  </si>
  <si>
    <t>10-معرض الواحة سامراء</t>
  </si>
  <si>
    <t>11-شركة الحافظ</t>
  </si>
  <si>
    <t>12-كهربائيات المهندس</t>
  </si>
  <si>
    <t>13-دكتور يوسف ميديا فوكس</t>
  </si>
  <si>
    <t>14-شركة الريان بغداد</t>
  </si>
  <si>
    <t>السقف المرجعي</t>
  </si>
  <si>
    <t>لقطة الأرصدة بتاريخ 2026-05-13 - سعر الدولار المستخدم: 1,350 د.ع</t>
  </si>
  <si>
    <t>أرصدة الموردين الـ14</t>
  </si>
  <si>
    <t>المورد</t>
  </si>
  <si>
    <t>العملة</t>
  </si>
  <si>
    <t>الرصيد بعملته (مليون)</t>
  </si>
  <si>
    <t>الرصيد بالدينار (مليون)</t>
  </si>
  <si>
    <t>آخر نشاط</t>
  </si>
  <si>
    <t>دولار</t>
  </si>
  <si>
    <t>دينار</t>
  </si>
  <si>
    <t>أرصدة الصناديق الحالية</t>
  </si>
  <si>
    <t>الصندوق</t>
  </si>
  <si>
    <t>الرصيد (مليون)</t>
  </si>
  <si>
    <t>صندوق 181 المعتصم</t>
  </si>
  <si>
    <t>صندوق الضلوعية</t>
  </si>
  <si>
    <t>صندوق نقل مخزني</t>
  </si>
  <si>
    <t>صندوق محمد شهاب - ضلوعية</t>
  </si>
  <si>
    <t>صندوق محمد كوان</t>
  </si>
  <si>
    <t>صندوق عمر حردان</t>
  </si>
  <si>
    <t>نقد في الخزينة</t>
  </si>
  <si>
    <t>أعلى 30 زبون عليهم ذمم</t>
  </si>
  <si>
    <t>الزبون</t>
  </si>
  <si>
    <t>معرض البيت السعيد - فرع الاسحاقي</t>
  </si>
  <si>
    <t>محمد كوان سحب</t>
  </si>
  <si>
    <t>نقص المخزن</t>
  </si>
  <si>
    <t>معرض البيت السعيد - فرع سامراء</t>
  </si>
  <si>
    <t>معرض سعيد الهواس - بيع</t>
  </si>
  <si>
    <t>جاسم كوان</t>
  </si>
  <si>
    <t>عمر عامر علان - سحب</t>
  </si>
  <si>
    <t>GREEN FILMS</t>
  </si>
  <si>
    <t>محمد كوان</t>
  </si>
  <si>
    <t>عبدالقادر كوان</t>
  </si>
  <si>
    <t>معرض الواحة سامراء بيع</t>
  </si>
  <si>
    <t>صباح صيانة</t>
  </si>
  <si>
    <t>كرمه علان</t>
  </si>
  <si>
    <t>محل الضلوعية</t>
  </si>
  <si>
    <t>حسن كوان جاسم</t>
  </si>
  <si>
    <t>سحب صدام جميل</t>
  </si>
  <si>
    <t>صدام جميل سحب</t>
  </si>
  <si>
    <t>مجاهد حسن</t>
  </si>
  <si>
    <t>فؤاد ابو يزن تكريت = احمد كوان لايخابر</t>
  </si>
  <si>
    <t>عبدالعزيز مولود  عواد - ماستر - موبايل</t>
  </si>
  <si>
    <t>عبود لمعيه</t>
  </si>
  <si>
    <t>عمر عامر</t>
  </si>
  <si>
    <t>محمد صدام</t>
  </si>
  <si>
    <t>عمر سبتي علوان - منصه</t>
  </si>
  <si>
    <t>ام ساره  - رشيد حسون</t>
  </si>
  <si>
    <t>خالد محمد عطية -منصه -ض 450 مع حساب الثاني مرفوعات</t>
  </si>
  <si>
    <t>البيت</t>
  </si>
  <si>
    <t>حساب مسجد</t>
  </si>
  <si>
    <t>صهيب غازي - مقدم عدنان -ماستر نخيل</t>
  </si>
  <si>
    <t>محمد شهاب احمد - احمد زيد</t>
  </si>
  <si>
    <t>ملخص الأقساط المفتوحة (مستحقة من الزبائن)</t>
  </si>
  <si>
    <t>عدد خطط الأقساط النشطة</t>
  </si>
  <si>
    <t>المتبقي على الزبائن (مليون د.ع)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</si>
  <si>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</si>
  <si>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</si>
  <si>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</si>
  <si>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</si>
  <si>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</si>
  <si>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</si>
  <si>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</si>
  <si>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</si>
  <si>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</si>
  <si>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</si>
  <si>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</si>
  <si>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</si>
  <si>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نموذج TRAIN على 2022-2024، تنبؤ بـ 2025-05 → 2026-04، ثم مقارنة بالفعلي</t>
  </si>
  <si>
    <t>MAPE (%)</t>
  </si>
  <si>
    <t>ثقة التنبؤ</t>
  </si>
  <si>
    <t>4.8%</t>
  </si>
  <si>
    <t>21.3%</t>
  </si>
  <si>
    <t>15.0%</t>
  </si>
  <si>
    <t>70.5%</t>
  </si>
  <si>
    <t>34.3%</t>
  </si>
  <si>
    <t>76.8%</t>
  </si>
  <si>
    <t>96.1%</t>
  </si>
  <si>
    <t>-6.3%</t>
  </si>
  <si>
    <t>924.5%</t>
  </si>
  <si>
    <t>58.5%</t>
  </si>
  <si>
    <t>تنبيهات الأشهر المتوقع فيها عجز سيولة (احتياطي مفاجآت: 15.0M/شهر)</t>
  </si>
  <si>
    <t>مصروفات</t>
  </si>
  <si>
    <t>صافي متفائل</t>
  </si>
  <si>
    <t>توزيع المدفوعات المستقبلية للموردين الـ14 وفق الواردات المتوقعة</t>
  </si>
  <si>
    <t>المعادلة: من المقبوضات المتوقعة، نخصم (أجور+مشتريات+مرتجعات+أخرى+15M احتياطي) ثم نوزّع المتبقي بحسب الحصة التاريخية للمورد مع تطبيق السقف الشهري المرجعي</t>
  </si>
  <si>
    <t>واردات متوقعة</t>
  </si>
  <si>
    <t>احتياطي 15M</t>
  </si>
  <si>
    <t>🟢 المتاح للموردين</t>
  </si>
  <si>
    <t>إجمالي موزّع</t>
  </si>
  <si>
    <t>فائض سيولة</t>
  </si>
  <si>
    <t>📊 الإجمالي 12 شهر</t>
  </si>
  <si>
    <t>حصة كل مورد من إجمالي المدفوعات السنوية المتوقعة (%)</t>
  </si>
  <si>
    <t>📅 خطة السداد الشهرية المتوقعة للموردين الـ14 (مايو 2026 - أبريل 2027)</t>
  </si>
  <si>
    <t>💱 سعر صرف الدولار المعتمد:</t>
  </si>
  <si>
    <t>د.ع/$ (متفق عليه)</t>
  </si>
  <si>
    <t>📌 المنهجية: الخطة الشهرية = القيمة التي حدّدها المستخدم (الحد الأدنى → الحد الأعلى). المتوسط التاريخي يُعرض للمقارنة فقط. سعر الصرف 1,350 د.ع/$.</t>
  </si>
  <si>
    <t>الرصيد الحالي (له علينا)</t>
  </si>
  <si>
    <t>📋 الخطة الأدنى</t>
  </si>
  <si>
    <t>📋 الخطة الأعلى</t>
  </si>
  <si>
    <t>💰 متوسط فعلي 3س (مرجع)</t>
  </si>
  <si>
    <t>إجمالي سنوي (سيناريو متحفظ)</t>
  </si>
  <si>
    <t>إجمالي سنوي (سيناريو طموح)</t>
  </si>
  <si>
    <t>شهور لتسديد الدين</t>
  </si>
  <si>
    <t>ملاحظات</t>
  </si>
  <si>
    <t>⏱️ دفعات متقطّعة (متوسط حسابي 0.8M)</t>
  </si>
  <si>
    <t>✅ السداد ≤ سنة</t>
  </si>
  <si>
    <t>—</t>
  </si>
  <si>
    <t>لا دين ولا خطة</t>
  </si>
  <si>
    <t>⏱️ دفعات متقطّعة (متوسط حسابي 1.3M)</t>
  </si>
  <si>
    <t>⏱️ دفعات متقطّعة (متوسط حسابي 1.4M)</t>
  </si>
  <si>
    <t>متوازن</t>
  </si>
  <si>
    <t>⏱️ دفعات متقطّعة (متوسط حسابي 4.2M)</t>
  </si>
  <si>
    <t>⏱️ دفعات متقطّعة (متوسط حسابي 1.1M)</t>
  </si>
  <si>
    <t>⏱️ دفعات متقطّعة (متوسط حسابي 1.2M)</t>
  </si>
  <si>
    <t>📊 إجمالي شهري (متحفظ)</t>
  </si>
  <si>
    <t>🔄 مقارنة: خطة السداد vs المتاح من الواردات (١١ب)</t>
  </si>
  <si>
    <t>خطة السداد</t>
  </si>
  <si>
    <t>المتاح من الواردات</t>
  </si>
  <si>
    <t>الفرق</t>
  </si>
  <si>
    <t>الحالة</t>
  </si>
  <si>
    <t>✅ يكفي</t>
  </si>
  <si>
    <t>📈 ملخص الخطة السنوية الإجمالية</t>
  </si>
  <si>
    <t>الخطة المتحفظة (الحد الأدنى) سنوياً</t>
  </si>
  <si>
    <t>الخطة الطموحة (الحد الأعلى) سنوياً</t>
  </si>
  <si>
    <t>إجمالي الديون الحالية</t>
  </si>
  <si>
    <t>الفجوة الزمنية (بالخطة الأعلى) أشهر</t>
  </si>
  <si>
    <t>🔍 نظرة شاملة - 3 منظورات لتحليل التدفق النقدي</t>
  </si>
  <si>
    <t>السبب: قد تختلف المصروفات حسب المنظور المحاسبي - هل نحتسب الصيرفة كمصروف؟</t>
  </si>
  <si>
    <t>المنظور (View)</t>
  </si>
  <si>
    <t>ما يحتسب</t>
  </si>
  <si>
    <t>الإجمالي السنوي (تقريباً)</t>
  </si>
  <si>
    <t>متى يُستخدم؟</t>
  </si>
  <si>
    <t>A - الشامل (Comprehensive)</t>
  </si>
  <si>
    <t>موردون + سحوبات + مرتجعات + مشتريات + أجور + أخرى + صيرفة</t>
  </si>
  <si>
    <t>~1,208 M/سنة (يطابق توقعك)</t>
  </si>
  <si>
    <t>للسيولة - كل دينار يخرج من الصندوق</t>
  </si>
  <si>
    <t>B - الدينار النقي (IQD-only)</t>
  </si>
  <si>
    <t>كل ما سبق لكن بحركات الدينار فقط (لا الدولار)</t>
  </si>
  <si>
    <t>~854 M/سنة</t>
  </si>
  <si>
    <t>لتتبع حركة الدينار الفعلية في الصندوق</t>
  </si>
  <si>
    <t>C - الاقتصادي (Economic - Default)</t>
  </si>
  <si>
    <t>موردون (بكل العملات IQDeq) + سحوبات + مرتجعات + مشتريات + أجور (بدون صيرفة)</t>
  </si>
  <si>
    <t>~816 M/سنة</t>
  </si>
  <si>
    <t>للأرباح والربحية - يتجنّب ازدواج عد الصيرفة + دفعات USD</t>
  </si>
  <si>
    <t>مقارنة الـ3 منظورات شهرياً (آخر 12 شهر)</t>
  </si>
  <si>
    <t>المقبوضات</t>
  </si>
  <si>
    <t>A: شامل (مع صيرفة)</t>
  </si>
  <si>
    <t>B: دينار نقي</t>
  </si>
  <si>
    <t>C: اقتصادي</t>
  </si>
  <si>
    <t>صافي A</t>
  </si>
  <si>
    <t>صافي C</t>
  </si>
  <si>
    <t>⚠️ صيرفة كبيرة هذا الشهر: 122M</t>
  </si>
  <si>
    <t>⚠️ صيرفة كبيرة هذا الشهر: 87M</t>
  </si>
  <si>
    <t>⚠️ صيرفة كبيرة هذا الشهر: 66M</t>
  </si>
  <si>
    <t>⚠️ صيرفة كبيرة هذا الشهر: 116M</t>
  </si>
  <si>
    <t>إجمالي 12 شهر</t>
  </si>
  <si>
    <t>📌 خلاصة التحليل العميق</t>
  </si>
  <si>
    <t>• المقبوضات السنوية: 1,287 مليون د.ع (من زبائن الأقساط والنقد)</t>
  </si>
  <si>
    <t>• المصروفات الشاملة (View A): 1,208 مليون - يطابق توقعك أن المحل دوّار</t>
  </si>
  <si>
    <t>• منها صيرفة (دينار→دولار): 391 مليون - دينار يخرج لشراء دولار لدفع الموردين الدولاريين</t>
  </si>
  <si>
    <t>• الفجوة الفعلية (سيولة محتجزة في الصناديق): 79 مليون فقط</t>
  </si>
  <si>
    <t>• ملاحظة: View C يستخدم 'دفعات الدولار للموردين (IQD-equivalent)' بدلاً من الصيرفة لتجنّب الازدواج</t>
  </si>
  <si>
    <t>📋 خطة السداد الشهرية للموردين الـ14 (المُعتمدة)</t>
  </si>
  <si>
    <t>🎯 الهدف الأساسي: تسديد الديون بحلول فبراير 2027 (10 أشهر) | السعر: 1350 د.ع/$ | الاحتياطي: 15M/شهر | المعدّلات الشهرية مُعتمدة من المستخدم</t>
  </si>
  <si>
    <t>💡 الخطة تأخذ بالاعتبار: استمرار المشتريات الجديدة من الموردين خلال الموسم بناءً على معدّل آخر 3 سنوات</t>
  </si>
  <si>
    <t>🏢 ملخص خطة السداد لكل مورد (بالقيم المعتمدة)</t>
  </si>
  <si>
    <t>الدين الحالي</t>
  </si>
  <si>
    <t>مشتريات شهرية متوقعة</t>
  </si>
  <si>
    <t>🎯 المعتمد شهرياً</t>
  </si>
  <si>
    <t>السنوي (×12)</t>
  </si>
  <si>
    <t>صافي تخفيض شهري</t>
  </si>
  <si>
    <t>موعد نهاية الدين</t>
  </si>
  <si>
    <t>مارس 2027</t>
  </si>
  <si>
    <t>⚠️ ينتهي خلال السنة</t>
  </si>
  <si>
    <t>لا دين</t>
  </si>
  <si>
    <t>مايو 2026</t>
  </si>
  <si>
    <t>✅ يحقق الهدف (≤ فبراير 2027)</t>
  </si>
  <si>
    <t>بعد أبريل 2027</t>
  </si>
  <si>
    <t>🚨 سيتجاوز السنة (15 شهر)</t>
  </si>
  <si>
    <t>يونيو 2026</t>
  </si>
  <si>
    <t>يوليو 2026</t>
  </si>
  <si>
    <t>أبريل 2027</t>
  </si>
  <si>
    <t>🚨 سيتجاوز السنة (29 شهر)</t>
  </si>
  <si>
    <t>🚨 سيتجاوز السنة (16 شهر)</t>
  </si>
  <si>
    <t>ديسمبر 2026</t>
  </si>
  <si>
    <t>📊 الإجمالي</t>
  </si>
  <si>
    <t>📅 جدول السداد الشهري (المبلغ الذي ستدفعه كل شهر)</t>
  </si>
  <si>
    <t>إجمالي السنة</t>
  </si>
  <si>
    <t>📊 إجمالي شهري</t>
  </si>
  <si>
    <t>📉 تتبّع رصيد الدين شهرياً (متى ينتهي كل مورد؟)</t>
  </si>
  <si>
    <t>الافتتاحي</t>
  </si>
  <si>
    <t>الختامي</t>
  </si>
  <si>
    <t>✅ مُسدّد</t>
  </si>
  <si>
    <t>💰 التدفق النقدي الإجمالي الشهري - هل الواردات تكفي؟</t>
  </si>
  <si>
    <t>الواردات المتوقعة</t>
  </si>
  <si>
    <t>إيجار + مصاريف تشغيلية</t>
  </si>
  <si>
    <t>المتاح للموردين</t>
  </si>
  <si>
    <t>📅 المخطط للموردين</t>
  </si>
  <si>
    <t>الفجوة</t>
  </si>
  <si>
    <t>🚨 عجز 15.3M</t>
  </si>
  <si>
    <t>✅ يكفي بسهولة</t>
  </si>
  <si>
    <t>⚠️ يكفي بالكاد</t>
  </si>
  <si>
    <t>📊 الإجمالي السنوي</t>
  </si>
  <si>
    <t>📈 ملخص الخطة السنوية والتقييم</t>
  </si>
  <si>
    <t>د.ع مليون</t>
  </si>
  <si>
    <t>إجمالي السداد الشهري المعتمد</t>
  </si>
  <si>
    <t>إجمالي السداد السنوي</t>
  </si>
  <si>
    <t>إجمالي المشتريات الجديدة المتوقعة (12 شهر)</t>
  </si>
  <si>
    <t>موردون يحققون الهدف (≤ فبراير 2027)</t>
  </si>
  <si>
    <t>مورد</t>
  </si>
  <si>
    <t>موردون يحتاجون أكثر من فبراير 2027</t>
  </si>
  <si>
    <t>ديون ستُسدّد قبل فبراير 2027</t>
  </si>
  <si>
    <t>ديون تتجاوز الهدف الزمني</t>
  </si>
  <si>
    <t>صافي الفائض/العجز السنوي للسيولة</t>
  </si>
  <si>
    <t>طبقات التحقق المحاسبي والشذوذ</t>
  </si>
  <si>
    <t>عدد السندات شهرياً (مع توزيع العملات)</t>
  </si>
  <si>
    <t>إجمالي السندات</t>
  </si>
  <si>
    <t>بالدينار</t>
  </si>
  <si>
    <t>بالدولار</t>
  </si>
  <si>
    <t>نوع 0</t>
  </si>
  <si>
    <t>أنواع أخرى</t>
  </si>
  <si>
    <t>السندات المستقبلية (مؤجلة - مستثناة من التحليل)</t>
  </si>
  <si>
    <t>عدد السندات المستقبلية</t>
  </si>
  <si>
    <t>إجمالي مبالغها (مليون)</t>
  </si>
  <si>
    <t>أكبر 20 سند (مراجعة الشذوذ)</t>
  </si>
  <si>
    <t>#</t>
  </si>
  <si>
    <t>التاريخ</t>
  </si>
  <si>
    <t>مبلغ (مليون)</t>
  </si>
  <si>
    <t>من حساب</t>
  </si>
  <si>
    <t>إلى حساب</t>
  </si>
  <si>
    <t>البيان</t>
  </si>
  <si>
    <t>معرض اربيل راس مال</t>
  </si>
  <si>
    <t>معرض اربيل</t>
  </si>
  <si>
    <t>علي كوان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</si>
</sst>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.0%"/>
    <numFmt numFmtId="166" formatCode="0.0&quot;%&quot;"/>
    <numFmt numFmtId="167" formatCode="#,##0.000"/>
    <numFmt numFmtId="168" formatCode="#,##0.000;\-#,##0.000"/>
    <numFmt numFmtId="169" formatCode="#,##0.0;\-#,##0.0"/>
    <numFmt numFmtId="170" formatCode="yyyy\-mm\-dd\ h:mm:ss"/>
    <numFmt numFmtId="171" formatCode="\+#,##0.00;\-#,##0.00"/>
    <numFmt numFmtId="172" formatCode="\+#,##0.0;\-#,##0.0"/>
  </numFmts>
  <fonts count="21" x14ac:knownFonts="1">
    <font>
      <sz val="11"/>
      <color theme="1"/>
      <name val="Calibri"/>
      <family val="2"/>
      <scheme val="minor"/>
    </font>
    <font>
      <b/>
      <sz val="16"/>
      <color rgb="FF2E5C8A"/>
      <name val="Calibri"/>
      <family val="2"/>
    </font>
    <font>
      <i/>
      <sz val="10"/>
      <color rgb="FF666666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B050"/>
      <name val="Calibri"/>
      <family val="2"/>
    </font>
    <font>
      <i/>
      <sz val="11"/>
      <color rgb="FF666666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14"/>
      <color rgb="FF2E5C8A"/>
      <name val="Calibri"/>
      <family val="2"/>
    </font>
    <font>
      <b/>
      <sz val="12"/>
      <color rgb="FFC00000"/>
      <name val="Calibri"/>
      <family val="2"/>
    </font>
    <font>
      <b/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4"/>
      <color rgb="FF0000FF"/>
      <name val="Calibri"/>
      <family val="2"/>
    </font>
    <font>
      <i/>
      <sz val="10"/>
      <color rgb="FF2E5C8A"/>
      <name val="Calibri"/>
      <family val="2"/>
    </font>
    <font>
      <b/>
      <sz val="12"/>
      <name val="Calibri"/>
      <family val="2"/>
    </font>
    <font>
      <b/>
      <sz val="12"/>
      <color rgb="FF2E5C8A"/>
      <name val="Calibri"/>
      <family val="2"/>
    </font>
    <font>
      <b/>
      <sz val="15"/>
      <color rgb="FF2E5C8A"/>
      <name val="Calibri"/>
      <family val="2"/>
    </font>
    <font>
      <i/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3" borderId="0" xfId="0" applyNumberFormat="1" applyFill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0" xfId="0" applyNumberFormat="1" applyFill="1"/>
    <xf numFmtId="164" fontId="0" fillId="5" borderId="0" xfId="0" applyNumberFormat="1" applyFill="1"/>
    <xf numFmtId="0" fontId="6" fillId="0" borderId="0" xfId="0" applyFont="1"/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3" fontId="0" fillId="0" borderId="0" xfId="0" applyNumberFormat="1"/>
    <xf numFmtId="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1" fillId="0" borderId="0" xfId="0" applyFont="1"/>
    <xf numFmtId="164" fontId="0" fillId="6" borderId="0" xfId="0" applyNumberFormat="1" applyFill="1"/>
    <xf numFmtId="0" fontId="12" fillId="2" borderId="0" xfId="0" applyFont="1" applyFill="1"/>
    <xf numFmtId="164" fontId="12" fillId="2" borderId="0" xfId="0" applyNumberFormat="1" applyFont="1" applyFill="1"/>
    <xf numFmtId="166" fontId="13" fillId="0" borderId="0" xfId="0" applyNumberFormat="1" applyFont="1"/>
    <xf numFmtId="3" fontId="15" fillId="5" borderId="1" xfId="0" applyNumberFormat="1" applyFont="1" applyFill="1" applyBorder="1" applyAlignment="1">
      <alignment horizontal="center"/>
    </xf>
    <xf numFmtId="0" fontId="13" fillId="0" borderId="0" xfId="0" applyFont="1"/>
    <xf numFmtId="164" fontId="13" fillId="3" borderId="0" xfId="0" applyNumberFormat="1" applyFont="1" applyFill="1"/>
    <xf numFmtId="164" fontId="6" fillId="5" borderId="0" xfId="0" applyNumberFormat="1" applyFont="1" applyFill="1"/>
    <xf numFmtId="164" fontId="0" fillId="6" borderId="1" xfId="0" applyNumberFormat="1" applyFill="1" applyBorder="1" applyAlignment="1">
      <alignment horizontal="center"/>
    </xf>
    <xf numFmtId="164" fontId="13" fillId="6" borderId="0" xfId="0" applyNumberFormat="1" applyFont="1" applyFill="1"/>
    <xf numFmtId="3" fontId="0" fillId="3" borderId="0" xfId="0" applyNumberFormat="1" applyFill="1"/>
    <xf numFmtId="164" fontId="6" fillId="0" borderId="0" xfId="0" applyNumberFormat="1" applyFont="1"/>
    <xf numFmtId="3" fontId="0" fillId="5" borderId="0" xfId="0" applyNumberFormat="1" applyFill="1"/>
    <xf numFmtId="0" fontId="12" fillId="2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4" fontId="6" fillId="0" borderId="0" xfId="0" applyNumberFormat="1" applyFont="1"/>
    <xf numFmtId="4" fontId="13" fillId="3" borderId="0" xfId="0" applyNumberFormat="1" applyFont="1" applyFill="1"/>
    <xf numFmtId="171" fontId="0" fillId="6" borderId="0" xfId="0" applyNumberFormat="1" applyFill="1"/>
    <xf numFmtId="171" fontId="0" fillId="0" borderId="0" xfId="0" applyNumberFormat="1"/>
    <xf numFmtId="172" fontId="0" fillId="4" borderId="0" xfId="0" applyNumberFormat="1" applyFill="1"/>
    <xf numFmtId="172" fontId="0" fillId="3" borderId="0" xfId="0" applyNumberFormat="1" applyFill="1"/>
    <xf numFmtId="172" fontId="0" fillId="5" borderId="0" xfId="0" applyNumberFormat="1" applyFill="1"/>
    <xf numFmtId="1" fontId="13" fillId="3" borderId="0" xfId="0" applyNumberFormat="1" applyFont="1" applyFill="1"/>
    <xf numFmtId="1" fontId="13" fillId="4" borderId="0" xfId="0" applyNumberFormat="1" applyFont="1" applyFill="1"/>
    <xf numFmtId="164" fontId="13" fillId="4" borderId="0" xfId="0" applyNumberFormat="1" applyFont="1" applyFill="1"/>
    <xf numFmtId="3" fontId="0" fillId="0" borderId="1" xfId="0" applyNumberFormat="1" applyBorder="1" applyAlignment="1">
      <alignment horizontal="center"/>
    </xf>
    <xf numFmtId="0" fontId="3" fillId="2" borderId="0" xfId="0" applyFont="1" applyFill="1"/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8" fillId="2" borderId="0" xfId="0" applyFont="1" applyFill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2" fillId="2" borderId="0" xfId="0" applyFont="1" applyFill="1"/>
    <xf numFmtId="0" fontId="18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التدفق النقدي الشهري - تاريخي ومتوقع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'٢. التدفق الشهري'!$B$1</c:f>
              <c:strCache>
                <c:ptCount val="1"/>
                <c:pt idx="0">
                  <c:v>مقبوضات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الشهري'!$B$2:$B$61</c:f>
              <c:numCache>
                <c:formatCode>#,##0.0</c:formatCode>
                <c:ptCount val="60"/>
                <c:pt idx="0">
                  <c:v>75.227549999999994</c:v>
                </c:pt>
                <c:pt idx="1">
                  <c:v>93.884200000000007</c:v>
                </c:pt>
                <c:pt idx="2">
                  <c:v>98.499200000000002</c:v>
                </c:pt>
                <c:pt idx="3">
                  <c:v>97.027600000000007</c:v>
                </c:pt>
                <c:pt idx="4">
                  <c:v>84.624200000000002</c:v>
                </c:pt>
                <c:pt idx="5">
                  <c:v>86.143000000000001</c:v>
                </c:pt>
                <c:pt idx="6">
                  <c:v>84.807900000000004</c:v>
                </c:pt>
                <c:pt idx="7">
                  <c:v>104.41001</c:v>
                </c:pt>
                <c:pt idx="8">
                  <c:v>94.485749999999996</c:v>
                </c:pt>
                <c:pt idx="9">
                  <c:v>91.964799999999997</c:v>
                </c:pt>
                <c:pt idx="10">
                  <c:v>116.83629999999999</c:v>
                </c:pt>
                <c:pt idx="11">
                  <c:v>90.529455999999996</c:v>
                </c:pt>
                <c:pt idx="12">
                  <c:v>82.276250000000005</c:v>
                </c:pt>
                <c:pt idx="13">
                  <c:v>105.69029999999999</c:v>
                </c:pt>
                <c:pt idx="14">
                  <c:v>99.525000000000006</c:v>
                </c:pt>
                <c:pt idx="15">
                  <c:v>134.66569999999999</c:v>
                </c:pt>
                <c:pt idx="16">
                  <c:v>92.049899999999994</c:v>
                </c:pt>
                <c:pt idx="17">
                  <c:v>109.45543000000001</c:v>
                </c:pt>
                <c:pt idx="18">
                  <c:v>98.450299999999999</c:v>
                </c:pt>
                <c:pt idx="19">
                  <c:v>115.15600000000001</c:v>
                </c:pt>
                <c:pt idx="20">
                  <c:v>128.38175000000001</c:v>
                </c:pt>
                <c:pt idx="21">
                  <c:v>106.81055000000001</c:v>
                </c:pt>
                <c:pt idx="22">
                  <c:v>104.03612699999999</c:v>
                </c:pt>
                <c:pt idx="23">
                  <c:v>105.0813</c:v>
                </c:pt>
                <c:pt idx="24">
                  <c:v>117.67675</c:v>
                </c:pt>
                <c:pt idx="25">
                  <c:v>192.27856</c:v>
                </c:pt>
                <c:pt idx="26">
                  <c:v>140.34665000000001</c:v>
                </c:pt>
                <c:pt idx="27">
                  <c:v>119.362555</c:v>
                </c:pt>
                <c:pt idx="28">
                  <c:v>118.50799499999999</c:v>
                </c:pt>
                <c:pt idx="29">
                  <c:v>169.20758000000001</c:v>
                </c:pt>
                <c:pt idx="30">
                  <c:v>230.9631</c:v>
                </c:pt>
                <c:pt idx="31">
                  <c:v>111.030781</c:v>
                </c:pt>
                <c:pt idx="32">
                  <c:v>114.43458</c:v>
                </c:pt>
                <c:pt idx="33">
                  <c:v>110.79984899999999</c:v>
                </c:pt>
                <c:pt idx="34">
                  <c:v>111.01114</c:v>
                </c:pt>
                <c:pt idx="35">
                  <c:v>87.884119999999996</c:v>
                </c:pt>
                <c:pt idx="36">
                  <c:v>104.00178</c:v>
                </c:pt>
                <c:pt idx="37">
                  <c:v>102.478576</c:v>
                </c:pt>
                <c:pt idx="38">
                  <c:v>116.36199999999999</c:v>
                </c:pt>
                <c:pt idx="39">
                  <c:v>112.748751</c:v>
                </c:pt>
                <c:pt idx="40">
                  <c:v>105.85688</c:v>
                </c:pt>
                <c:pt idx="41">
                  <c:v>119.2183</c:v>
                </c:pt>
                <c:pt idx="42">
                  <c:v>150.30199999999999</c:v>
                </c:pt>
                <c:pt idx="43">
                  <c:v>107.2238</c:v>
                </c:pt>
                <c:pt idx="44">
                  <c:v>100.98175000000001</c:v>
                </c:pt>
                <c:pt idx="45">
                  <c:v>89.150316000000004</c:v>
                </c:pt>
                <c:pt idx="46">
                  <c:v>81.644750000000002</c:v>
                </c:pt>
                <c:pt idx="47">
                  <c:v>97.348690000000005</c:v>
                </c:pt>
                <c:pt idx="48">
                  <c:v>99.344945351932537</c:v>
                </c:pt>
                <c:pt idx="49">
                  <c:v>129.51381295682049</c:v>
                </c:pt>
                <c:pt idx="50">
                  <c:v>119.13901719254309</c:v>
                </c:pt>
                <c:pt idx="51">
                  <c:v>121.5157975242269</c:v>
                </c:pt>
                <c:pt idx="52">
                  <c:v>105.0713387814512</c:v>
                </c:pt>
                <c:pt idx="53">
                  <c:v>126.81331597376079</c:v>
                </c:pt>
                <c:pt idx="54">
                  <c:v>147.90387618640511</c:v>
                </c:pt>
                <c:pt idx="55">
                  <c:v>114.70804213594501</c:v>
                </c:pt>
                <c:pt idx="56">
                  <c:v>114.829409745928</c:v>
                </c:pt>
                <c:pt idx="57">
                  <c:v>104.46521729558479</c:v>
                </c:pt>
                <c:pt idx="58">
                  <c:v>108.343519208402</c:v>
                </c:pt>
                <c:pt idx="59">
                  <c:v>99.780185569050943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C1-454F-A662-EF335E4FBCEC}"/>
            </c:ext>
          </c:extLst>
        </c:ser>
        <c:ser>
          <c:idx val="1"/>
          <c:order val="1"/>
          <c:tx>
            <c:strRef>
              <c:f>'٢. التدفق الشهري'!$C$1</c:f>
              <c:strCache>
                <c:ptCount val="1"/>
                <c:pt idx="0">
                  <c:v>مصروفات إجمالي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الشهري'!$C$2:$C$61</c:f>
              <c:numCache>
                <c:formatCode>#,##0.0</c:formatCode>
                <c:ptCount val="60"/>
                <c:pt idx="0">
                  <c:v>80.911639999999991</c:v>
                </c:pt>
                <c:pt idx="1">
                  <c:v>93.075533000000007</c:v>
                </c:pt>
                <c:pt idx="2">
                  <c:v>98.655682999999996</c:v>
                </c:pt>
                <c:pt idx="3">
                  <c:v>106.302555</c:v>
                </c:pt>
                <c:pt idx="4">
                  <c:v>72.650574000000006</c:v>
                </c:pt>
                <c:pt idx="5">
                  <c:v>71.244129999999998</c:v>
                </c:pt>
                <c:pt idx="6">
                  <c:v>85.97842</c:v>
                </c:pt>
                <c:pt idx="7">
                  <c:v>80.267125000000007</c:v>
                </c:pt>
                <c:pt idx="8">
                  <c:v>146.54131000000001</c:v>
                </c:pt>
                <c:pt idx="9">
                  <c:v>85.1875</c:v>
                </c:pt>
                <c:pt idx="10">
                  <c:v>86.992582999999996</c:v>
                </c:pt>
                <c:pt idx="11">
                  <c:v>85.704162999999994</c:v>
                </c:pt>
                <c:pt idx="12">
                  <c:v>55.463278000000003</c:v>
                </c:pt>
                <c:pt idx="13">
                  <c:v>110.467078</c:v>
                </c:pt>
                <c:pt idx="14">
                  <c:v>73.70919099999999</c:v>
                </c:pt>
                <c:pt idx="15">
                  <c:v>92.846146000000005</c:v>
                </c:pt>
                <c:pt idx="16">
                  <c:v>103.024147</c:v>
                </c:pt>
                <c:pt idx="17">
                  <c:v>107.21796999999999</c:v>
                </c:pt>
                <c:pt idx="18">
                  <c:v>80.917722999999995</c:v>
                </c:pt>
                <c:pt idx="19">
                  <c:v>59.983345</c:v>
                </c:pt>
                <c:pt idx="20">
                  <c:v>123.868167</c:v>
                </c:pt>
                <c:pt idx="21">
                  <c:v>114.208113</c:v>
                </c:pt>
                <c:pt idx="22">
                  <c:v>58.983339999999998</c:v>
                </c:pt>
                <c:pt idx="23">
                  <c:v>91.020431000000002</c:v>
                </c:pt>
                <c:pt idx="24">
                  <c:v>111.56079</c:v>
                </c:pt>
                <c:pt idx="25">
                  <c:v>96.134224999999986</c:v>
                </c:pt>
                <c:pt idx="26">
                  <c:v>111.093288</c:v>
                </c:pt>
                <c:pt idx="27">
                  <c:v>126.125951</c:v>
                </c:pt>
                <c:pt idx="28">
                  <c:v>16.341695999999999</c:v>
                </c:pt>
                <c:pt idx="29">
                  <c:v>115.74476</c:v>
                </c:pt>
                <c:pt idx="30">
                  <c:v>173.79733400000001</c:v>
                </c:pt>
                <c:pt idx="31">
                  <c:v>156.300229</c:v>
                </c:pt>
                <c:pt idx="32">
                  <c:v>230.363711</c:v>
                </c:pt>
                <c:pt idx="33">
                  <c:v>21.116406999999999</c:v>
                </c:pt>
                <c:pt idx="34">
                  <c:v>105.951055</c:v>
                </c:pt>
                <c:pt idx="35">
                  <c:v>32.455072000000001</c:v>
                </c:pt>
                <c:pt idx="36">
                  <c:v>34.483220000000003</c:v>
                </c:pt>
                <c:pt idx="37">
                  <c:v>182.322519</c:v>
                </c:pt>
                <c:pt idx="38">
                  <c:v>67.807672999999994</c:v>
                </c:pt>
                <c:pt idx="39">
                  <c:v>76.764741000000001</c:v>
                </c:pt>
                <c:pt idx="40">
                  <c:v>180.13979699999999</c:v>
                </c:pt>
                <c:pt idx="41">
                  <c:v>43.690714</c:v>
                </c:pt>
                <c:pt idx="42">
                  <c:v>128.838753</c:v>
                </c:pt>
                <c:pt idx="43">
                  <c:v>100.617531</c:v>
                </c:pt>
                <c:pt idx="44">
                  <c:v>37.931738000000003</c:v>
                </c:pt>
                <c:pt idx="45">
                  <c:v>219.78789900000001</c:v>
                </c:pt>
                <c:pt idx="46">
                  <c:v>53.889000000000003</c:v>
                </c:pt>
                <c:pt idx="47">
                  <c:v>82.042999999999992</c:v>
                </c:pt>
                <c:pt idx="48">
                  <c:v>25.410025824332589</c:v>
                </c:pt>
                <c:pt idx="49">
                  <c:v>43.821987162994652</c:v>
                </c:pt>
                <c:pt idx="50">
                  <c:v>50.254706970656677</c:v>
                </c:pt>
                <c:pt idx="51">
                  <c:v>51.499012968070417</c:v>
                </c:pt>
                <c:pt idx="52">
                  <c:v>50.622416076789769</c:v>
                </c:pt>
                <c:pt idx="53">
                  <c:v>27.164224753833238</c:v>
                </c:pt>
                <c:pt idx="54">
                  <c:v>63.696096582223753</c:v>
                </c:pt>
                <c:pt idx="55">
                  <c:v>73.316418939781684</c:v>
                </c:pt>
                <c:pt idx="56">
                  <c:v>55.371997583168188</c:v>
                </c:pt>
                <c:pt idx="57">
                  <c:v>55.647265829676037</c:v>
                </c:pt>
                <c:pt idx="58">
                  <c:v>39.782295103372093</c:v>
                </c:pt>
                <c:pt idx="59">
                  <c:v>43.308911402721783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C1-454F-A662-EF335E4FBCEC}"/>
            </c:ext>
          </c:extLst>
        </c:ser>
        <c:ser>
          <c:idx val="2"/>
          <c:order val="2"/>
          <c:tx>
            <c:strRef>
              <c:f>'٢. التدفق الشهري'!$D$1</c:f>
              <c:strCache>
                <c:ptCount val="1"/>
                <c:pt idx="0">
                  <c:v>صافي إجمالي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الشهري'!$D$2:$D$61</c:f>
              <c:numCache>
                <c:formatCode>#,##0.0</c:formatCode>
                <c:ptCount val="60"/>
                <c:pt idx="0">
                  <c:v>-5.6840899999999976</c:v>
                </c:pt>
                <c:pt idx="1">
                  <c:v>0.8086669999999998</c:v>
                </c:pt>
                <c:pt idx="2">
                  <c:v>-0.1564829999999944</c:v>
                </c:pt>
                <c:pt idx="3">
                  <c:v>-9.2749549999999914</c:v>
                </c:pt>
                <c:pt idx="4">
                  <c:v>11.973625999999999</c:v>
                </c:pt>
                <c:pt idx="5">
                  <c:v>14.898870000000001</c:v>
                </c:pt>
                <c:pt idx="6">
                  <c:v>-1.170519999999996</c:v>
                </c:pt>
                <c:pt idx="7">
                  <c:v>24.142884999999989</c:v>
                </c:pt>
                <c:pt idx="8">
                  <c:v>-52.055560000000007</c:v>
                </c:pt>
                <c:pt idx="9">
                  <c:v>6.7772999999999968</c:v>
                </c:pt>
                <c:pt idx="10">
                  <c:v>29.843717000000002</c:v>
                </c:pt>
                <c:pt idx="11">
                  <c:v>4.8252930000000021</c:v>
                </c:pt>
                <c:pt idx="12">
                  <c:v>26.812971999999998</c:v>
                </c:pt>
                <c:pt idx="13">
                  <c:v>-4.7767780000000073</c:v>
                </c:pt>
                <c:pt idx="14">
                  <c:v>25.815809000000019</c:v>
                </c:pt>
                <c:pt idx="15">
                  <c:v>41.819553999999982</c:v>
                </c:pt>
                <c:pt idx="16">
                  <c:v>-10.974247000000011</c:v>
                </c:pt>
                <c:pt idx="17">
                  <c:v>2.2374600000000129</c:v>
                </c:pt>
                <c:pt idx="18">
                  <c:v>17.532577</c:v>
                </c:pt>
                <c:pt idx="19">
                  <c:v>55.172655000000013</c:v>
                </c:pt>
                <c:pt idx="20">
                  <c:v>4.5135830000000112</c:v>
                </c:pt>
                <c:pt idx="21">
                  <c:v>-7.397562999999991</c:v>
                </c:pt>
                <c:pt idx="22">
                  <c:v>45.052787000000002</c:v>
                </c:pt>
                <c:pt idx="23">
                  <c:v>14.060869</c:v>
                </c:pt>
                <c:pt idx="24">
                  <c:v>6.1159600000000012</c:v>
                </c:pt>
                <c:pt idx="25">
                  <c:v>96.144335000000012</c:v>
                </c:pt>
                <c:pt idx="26">
                  <c:v>29.25336200000001</c:v>
                </c:pt>
                <c:pt idx="27">
                  <c:v>-6.7633960000000002</c:v>
                </c:pt>
                <c:pt idx="28">
                  <c:v>102.166299</c:v>
                </c:pt>
                <c:pt idx="29">
                  <c:v>53.462820000000008</c:v>
                </c:pt>
                <c:pt idx="30">
                  <c:v>57.165765999999991</c:v>
                </c:pt>
                <c:pt idx="31">
                  <c:v>-45.269447999999997</c:v>
                </c:pt>
                <c:pt idx="32">
                  <c:v>-115.929131</c:v>
                </c:pt>
                <c:pt idx="33">
                  <c:v>89.683441999999985</c:v>
                </c:pt>
                <c:pt idx="34">
                  <c:v>5.0600849999999866</c:v>
                </c:pt>
                <c:pt idx="35">
                  <c:v>55.429047999999987</c:v>
                </c:pt>
                <c:pt idx="36">
                  <c:v>69.518559999999994</c:v>
                </c:pt>
                <c:pt idx="37">
                  <c:v>-79.843942999999996</c:v>
                </c:pt>
                <c:pt idx="38">
                  <c:v>48.554327000000001</c:v>
                </c:pt>
                <c:pt idx="39">
                  <c:v>35.984009999999998</c:v>
                </c:pt>
                <c:pt idx="40">
                  <c:v>-74.282916999999983</c:v>
                </c:pt>
                <c:pt idx="41">
                  <c:v>75.527585999999999</c:v>
                </c:pt>
                <c:pt idx="42">
                  <c:v>21.463246999999999</c:v>
                </c:pt>
                <c:pt idx="43">
                  <c:v>6.6062689999999833</c:v>
                </c:pt>
                <c:pt idx="44">
                  <c:v>63.050012000000009</c:v>
                </c:pt>
                <c:pt idx="45">
                  <c:v>-130.63758300000001</c:v>
                </c:pt>
                <c:pt idx="46">
                  <c:v>27.755749999999999</c:v>
                </c:pt>
                <c:pt idx="47">
                  <c:v>15.305690000000009</c:v>
                </c:pt>
                <c:pt idx="48">
                  <c:v>73.934919527599945</c:v>
                </c:pt>
                <c:pt idx="49">
                  <c:v>85.691825793825899</c:v>
                </c:pt>
                <c:pt idx="50">
                  <c:v>68.884310221886381</c:v>
                </c:pt>
                <c:pt idx="51">
                  <c:v>70.016784556156495</c:v>
                </c:pt>
                <c:pt idx="52">
                  <c:v>54.448922704661463</c:v>
                </c:pt>
                <c:pt idx="53">
                  <c:v>99.649091219927598</c:v>
                </c:pt>
                <c:pt idx="54">
                  <c:v>84.207779604181383</c:v>
                </c:pt>
                <c:pt idx="55">
                  <c:v>41.391623196163337</c:v>
                </c:pt>
                <c:pt idx="56">
                  <c:v>59.45741216275983</c:v>
                </c:pt>
                <c:pt idx="57">
                  <c:v>48.817951465908791</c:v>
                </c:pt>
                <c:pt idx="58">
                  <c:v>68.561224105029936</c:v>
                </c:pt>
                <c:pt idx="59">
                  <c:v>56.471274166329167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AC1-454F-A662-EF335E4FBCEC}"/>
            </c:ext>
          </c:extLst>
        </c:ser>
        <c:ser>
          <c:idx val="3"/>
          <c:order val="3"/>
          <c:tx>
            <c:strRef>
              <c:f>'٢. التدفق الشهري'!$E$1</c:f>
              <c:strCache>
                <c:ptCount val="1"/>
                <c:pt idx="0">
                  <c:v>صافي تشغيلي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'٢. التدفق الشهري'!$A$2:$A$61</c:f>
              <c:strCache>
                <c:ptCount val="60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  <c:pt idx="49">
                  <c:v>2026-06</c:v>
                </c:pt>
                <c:pt idx="50">
                  <c:v>2026-07</c:v>
                </c:pt>
                <c:pt idx="51">
                  <c:v>2026-08</c:v>
                </c:pt>
                <c:pt idx="52">
                  <c:v>2026-09</c:v>
                </c:pt>
                <c:pt idx="53">
                  <c:v>2026-10</c:v>
                </c:pt>
                <c:pt idx="54">
                  <c:v>2026-11</c:v>
                </c:pt>
                <c:pt idx="55">
                  <c:v>2026-12</c:v>
                </c:pt>
                <c:pt idx="56">
                  <c:v>2027-01</c:v>
                </c:pt>
                <c:pt idx="57">
                  <c:v>2027-02</c:v>
                </c:pt>
                <c:pt idx="58">
                  <c:v>2027-03</c:v>
                </c:pt>
                <c:pt idx="59">
                  <c:v>2027-04</c:v>
                </c:pt>
              </c:strCache>
            </c:strRef>
          </c:cat>
          <c:val>
            <c:numRef>
              <c:f>'٢. التدفق الشهري'!$E$2:$E$61</c:f>
              <c:numCache>
                <c:formatCode>#,##0.0</c:formatCode>
                <c:ptCount val="60"/>
                <c:pt idx="0">
                  <c:v>41.087009999999999</c:v>
                </c:pt>
                <c:pt idx="1">
                  <c:v>68.850947000000005</c:v>
                </c:pt>
                <c:pt idx="2">
                  <c:v>63.883716999999997</c:v>
                </c:pt>
                <c:pt idx="3">
                  <c:v>66.884905000000003</c:v>
                </c:pt>
                <c:pt idx="4">
                  <c:v>65.319500000000005</c:v>
                </c:pt>
                <c:pt idx="5">
                  <c:v>63.607500000000002</c:v>
                </c:pt>
                <c:pt idx="6">
                  <c:v>55.982900000000001</c:v>
                </c:pt>
                <c:pt idx="7">
                  <c:v>69.957319999999996</c:v>
                </c:pt>
                <c:pt idx="8">
                  <c:v>53.95055</c:v>
                </c:pt>
                <c:pt idx="9">
                  <c:v>61.074800000000003</c:v>
                </c:pt>
                <c:pt idx="10">
                  <c:v>87.424057000000005</c:v>
                </c:pt>
                <c:pt idx="11">
                  <c:v>62.098011999999997</c:v>
                </c:pt>
                <c:pt idx="12">
                  <c:v>76.352732000000003</c:v>
                </c:pt>
                <c:pt idx="13">
                  <c:v>62.764901999999992</c:v>
                </c:pt>
                <c:pt idx="14">
                  <c:v>78.961889000000014</c:v>
                </c:pt>
                <c:pt idx="15">
                  <c:v>83.983633999999995</c:v>
                </c:pt>
                <c:pt idx="16">
                  <c:v>29.81079299999999</c:v>
                </c:pt>
                <c:pt idx="17">
                  <c:v>93.167060000000006</c:v>
                </c:pt>
                <c:pt idx="18">
                  <c:v>71.376337000000007</c:v>
                </c:pt>
                <c:pt idx="19">
                  <c:v>62.262335000000007</c:v>
                </c:pt>
                <c:pt idx="20">
                  <c:v>75.929903000000024</c:v>
                </c:pt>
                <c:pt idx="21">
                  <c:v>56.315716999999999</c:v>
                </c:pt>
                <c:pt idx="22">
                  <c:v>78.296627000000001</c:v>
                </c:pt>
                <c:pt idx="23">
                  <c:v>86.629109</c:v>
                </c:pt>
                <c:pt idx="24">
                  <c:v>98.156807999999998</c:v>
                </c:pt>
                <c:pt idx="25">
                  <c:v>150.113215</c:v>
                </c:pt>
                <c:pt idx="26">
                  <c:v>69.950002000000012</c:v>
                </c:pt>
                <c:pt idx="27">
                  <c:v>81.152444000000003</c:v>
                </c:pt>
                <c:pt idx="28">
                  <c:v>102.166299</c:v>
                </c:pt>
                <c:pt idx="29">
                  <c:v>149.63658000000001</c:v>
                </c:pt>
                <c:pt idx="30">
                  <c:v>104.34552600000001</c:v>
                </c:pt>
                <c:pt idx="31">
                  <c:v>26.637832</c:v>
                </c:pt>
                <c:pt idx="32">
                  <c:v>28.598441000000012</c:v>
                </c:pt>
                <c:pt idx="33">
                  <c:v>89.683441999999985</c:v>
                </c:pt>
                <c:pt idx="34">
                  <c:v>74.049134999999993</c:v>
                </c:pt>
                <c:pt idx="35">
                  <c:v>55.429047999999987</c:v>
                </c:pt>
                <c:pt idx="36">
                  <c:v>69.518559999999994</c:v>
                </c:pt>
                <c:pt idx="37">
                  <c:v>41.777557000000002</c:v>
                </c:pt>
                <c:pt idx="38">
                  <c:v>48.554327000000001</c:v>
                </c:pt>
                <c:pt idx="39">
                  <c:v>35.984009999999998</c:v>
                </c:pt>
                <c:pt idx="40">
                  <c:v>12.898733000000011</c:v>
                </c:pt>
                <c:pt idx="41">
                  <c:v>75.527585999999999</c:v>
                </c:pt>
                <c:pt idx="42">
                  <c:v>87.860297000000003</c:v>
                </c:pt>
                <c:pt idx="43">
                  <c:v>6.6062689999999833</c:v>
                </c:pt>
                <c:pt idx="44">
                  <c:v>63.050012000000009</c:v>
                </c:pt>
                <c:pt idx="45">
                  <c:v>-14.573332999999989</c:v>
                </c:pt>
                <c:pt idx="46">
                  <c:v>27.755749999999999</c:v>
                </c:pt>
                <c:pt idx="47">
                  <c:v>15.305690000000009</c:v>
                </c:pt>
                <c:pt idx="48">
                  <c:v>81.131182101932538</c:v>
                </c:pt>
                <c:pt idx="49">
                  <c:v>108.9860211443206</c:v>
                </c:pt>
                <c:pt idx="50">
                  <c:v>92.410454130043036</c:v>
                </c:pt>
                <c:pt idx="51">
                  <c:v>91.123308586726921</c:v>
                </c:pt>
                <c:pt idx="52">
                  <c:v>73.141387531451244</c:v>
                </c:pt>
                <c:pt idx="53">
                  <c:v>109.27191057376081</c:v>
                </c:pt>
                <c:pt idx="54">
                  <c:v>113.83912818640511</c:v>
                </c:pt>
                <c:pt idx="55">
                  <c:v>63.347077073445007</c:v>
                </c:pt>
                <c:pt idx="56">
                  <c:v>90.03830659592802</c:v>
                </c:pt>
                <c:pt idx="57">
                  <c:v>64.856374208084844</c:v>
                </c:pt>
                <c:pt idx="58">
                  <c:v>78.219772908402049</c:v>
                </c:pt>
                <c:pt idx="59">
                  <c:v>70.070019806550945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AC1-454F-A662-EF335E4F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الشهر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مليون دينار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rightToLeft="1" workbookViewId="0">
      <selection sqref="A1:F1"/>
    </sheetView>
  </sheetViews>
  <sheetFormatPr baseColWidth="10" defaultColWidth="8.83203125" defaultRowHeight="15" x14ac:dyDescent="0.2"/>
  <cols>
    <col min="1" max="1" width="50" customWidth="1"/>
    <col min="2" max="2" width="22" customWidth="1"/>
    <col min="3" max="7" width="20" customWidth="1"/>
    <col min="8" max="8" width="14" customWidth="1"/>
  </cols>
  <sheetData>
    <row r="1" spans="1:8" ht="21" x14ac:dyDescent="0.25">
      <c r="A1" s="56" t="s">
        <v>0</v>
      </c>
      <c r="B1" s="54"/>
      <c r="C1" s="54"/>
      <c r="D1" s="54"/>
      <c r="E1" s="54"/>
      <c r="F1" s="54"/>
    </row>
    <row r="2" spans="1:8" x14ac:dyDescent="0.2">
      <c r="A2" s="55" t="s">
        <v>1</v>
      </c>
      <c r="B2" s="54"/>
      <c r="C2" s="54"/>
      <c r="D2" s="54"/>
      <c r="E2" s="54"/>
      <c r="F2" s="54"/>
    </row>
    <row r="4" spans="1:8" ht="17" x14ac:dyDescent="0.2">
      <c r="A4" s="53" t="s">
        <v>2</v>
      </c>
      <c r="B4" s="54"/>
      <c r="C4" s="54"/>
      <c r="D4" s="54"/>
      <c r="E4" s="54"/>
      <c r="F4" s="54"/>
      <c r="G4" s="54"/>
      <c r="H4" s="54"/>
    </row>
    <row r="5" spans="1:8" ht="1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">
      <c r="A6" t="s">
        <v>11</v>
      </c>
      <c r="B6" s="2">
        <v>1118.4399659999999</v>
      </c>
      <c r="C6" s="2">
        <v>1093.5112160000001</v>
      </c>
      <c r="D6" s="2">
        <v>24.92874999999999</v>
      </c>
      <c r="E6" s="2">
        <v>93.203330499999993</v>
      </c>
      <c r="F6" s="2">
        <v>91.12593466666668</v>
      </c>
      <c r="G6" s="2">
        <v>2.0773958333333331</v>
      </c>
      <c r="H6">
        <v>12</v>
      </c>
    </row>
    <row r="7" spans="1:8" x14ac:dyDescent="0.2">
      <c r="A7" t="s">
        <v>12</v>
      </c>
      <c r="B7" s="2">
        <v>1281.5786069999999</v>
      </c>
      <c r="C7" s="2">
        <v>1071.7089289999999</v>
      </c>
      <c r="D7" s="2">
        <v>209.86967799999999</v>
      </c>
      <c r="E7" s="2">
        <v>106.79821724999999</v>
      </c>
      <c r="F7" s="2">
        <v>89.309077416666653</v>
      </c>
      <c r="G7" s="2">
        <v>17.48913983333334</v>
      </c>
      <c r="H7">
        <v>12</v>
      </c>
    </row>
    <row r="8" spans="1:8" x14ac:dyDescent="0.2">
      <c r="A8" t="s">
        <v>13</v>
      </c>
      <c r="B8" s="2">
        <v>1623.5036600000001</v>
      </c>
      <c r="C8" s="2">
        <v>1296.984518</v>
      </c>
      <c r="D8" s="2">
        <v>326.51914199999999</v>
      </c>
      <c r="E8" s="2">
        <v>135.29197166666671</v>
      </c>
      <c r="F8" s="2">
        <v>108.08204316666669</v>
      </c>
      <c r="G8" s="2">
        <v>27.2099285</v>
      </c>
      <c r="H8">
        <v>12</v>
      </c>
    </row>
    <row r="9" spans="1:8" x14ac:dyDescent="0.2">
      <c r="A9" t="s">
        <v>14</v>
      </c>
      <c r="B9" s="2">
        <v>1287.317593</v>
      </c>
      <c r="C9" s="2">
        <v>1208.316585</v>
      </c>
      <c r="D9" s="2">
        <v>79.001008000000013</v>
      </c>
      <c r="E9" s="2">
        <v>107.2764660833333</v>
      </c>
      <c r="F9" s="2">
        <v>100.69304875</v>
      </c>
      <c r="G9" s="2">
        <v>6.5834173333333341</v>
      </c>
      <c r="H9">
        <v>12</v>
      </c>
    </row>
    <row r="11" spans="1:8" ht="17" x14ac:dyDescent="0.2">
      <c r="A11" s="53" t="s">
        <v>15</v>
      </c>
      <c r="B11" s="54"/>
      <c r="C11" s="54"/>
      <c r="D11" s="54"/>
      <c r="E11" s="54"/>
      <c r="F11" s="54"/>
      <c r="G11" s="54"/>
      <c r="H11" s="54"/>
    </row>
    <row r="12" spans="1:8" x14ac:dyDescent="0.2">
      <c r="A12" t="s">
        <v>16</v>
      </c>
      <c r="B12" s="2">
        <v>1391.4284779220509</v>
      </c>
    </row>
    <row r="13" spans="1:8" x14ac:dyDescent="0.2">
      <c r="A13" t="s">
        <v>17</v>
      </c>
      <c r="B13" s="2">
        <v>579.89535919762079</v>
      </c>
    </row>
    <row r="14" spans="1:8" x14ac:dyDescent="0.2">
      <c r="A14" t="s">
        <v>18</v>
      </c>
      <c r="B14" s="2">
        <v>811.53311872443032</v>
      </c>
    </row>
    <row r="15" spans="1:8" x14ac:dyDescent="0.2">
      <c r="A15" t="s">
        <v>19</v>
      </c>
      <c r="B15" s="2">
        <v>631.53311872443032</v>
      </c>
    </row>
    <row r="16" spans="1:8" x14ac:dyDescent="0.2">
      <c r="A16" t="s">
        <v>20</v>
      </c>
      <c r="B16" s="2">
        <v>391.55231422443029</v>
      </c>
    </row>
    <row r="18" spans="1:8" ht="17" x14ac:dyDescent="0.2">
      <c r="A18" s="53" t="s">
        <v>21</v>
      </c>
      <c r="B18" s="54"/>
      <c r="C18" s="54"/>
      <c r="D18" s="54"/>
      <c r="E18" s="54"/>
      <c r="F18" s="54"/>
      <c r="G18" s="54"/>
      <c r="H18" s="54"/>
    </row>
    <row r="19" spans="1:8" x14ac:dyDescent="0.2">
      <c r="A19" s="3" t="s">
        <v>22</v>
      </c>
    </row>
    <row r="22" spans="1:8" ht="17" x14ac:dyDescent="0.2">
      <c r="A22" s="53" t="s">
        <v>23</v>
      </c>
      <c r="B22" s="54"/>
      <c r="C22" s="54"/>
      <c r="D22" s="54"/>
      <c r="E22" s="54"/>
      <c r="F22" s="54"/>
      <c r="G22" s="54"/>
      <c r="H22" s="54"/>
    </row>
    <row r="23" spans="1:8" ht="16" x14ac:dyDescent="0.2">
      <c r="A23" s="1" t="s">
        <v>24</v>
      </c>
      <c r="B23" s="1" t="s">
        <v>25</v>
      </c>
      <c r="C23" s="1" t="s">
        <v>26</v>
      </c>
      <c r="D23" s="1" t="s">
        <v>27</v>
      </c>
    </row>
    <row r="24" spans="1:8" x14ac:dyDescent="0.2">
      <c r="A24" t="s">
        <v>28</v>
      </c>
      <c r="B24" s="4">
        <v>4.7991295922808819E-2</v>
      </c>
      <c r="C24" s="5">
        <v>21.288979527499539</v>
      </c>
      <c r="D24" s="6" t="s">
        <v>29</v>
      </c>
    </row>
    <row r="25" spans="1:8" x14ac:dyDescent="0.2">
      <c r="A25" t="s">
        <v>30</v>
      </c>
      <c r="B25" s="4">
        <v>0.15</v>
      </c>
      <c r="C25" s="5">
        <v>70.548193236345497</v>
      </c>
      <c r="D25" s="7" t="s">
        <v>31</v>
      </c>
    </row>
    <row r="26" spans="1:8" x14ac:dyDescent="0.2">
      <c r="A26" t="s">
        <v>32</v>
      </c>
      <c r="B26" s="4">
        <v>0.15</v>
      </c>
      <c r="C26" s="5">
        <v>34.273646740716352</v>
      </c>
      <c r="D26" s="8" t="s">
        <v>33</v>
      </c>
    </row>
    <row r="27" spans="1:8" x14ac:dyDescent="0.2">
      <c r="A27" t="s">
        <v>34</v>
      </c>
      <c r="B27" s="4">
        <v>0.15</v>
      </c>
      <c r="C27" s="5">
        <v>76.769628950870086</v>
      </c>
      <c r="D27" s="7" t="s">
        <v>31</v>
      </c>
    </row>
    <row r="28" spans="1:8" x14ac:dyDescent="0.2">
      <c r="A28" t="s">
        <v>35</v>
      </c>
      <c r="B28" s="4">
        <v>0.15</v>
      </c>
      <c r="C28" s="5">
        <v>96.131050179164077</v>
      </c>
      <c r="D28" s="7" t="s">
        <v>31</v>
      </c>
    </row>
    <row r="29" spans="1:8" x14ac:dyDescent="0.2">
      <c r="A29" t="s">
        <v>36</v>
      </c>
      <c r="B29" s="4">
        <v>-6.2834110456443271E-2</v>
      </c>
      <c r="C29" s="5">
        <v>924.51310302433546</v>
      </c>
      <c r="D29" s="7" t="s">
        <v>31</v>
      </c>
    </row>
    <row r="30" spans="1:8" x14ac:dyDescent="0.2">
      <c r="A30" t="s">
        <v>37</v>
      </c>
      <c r="B30" s="4">
        <v>0.15</v>
      </c>
      <c r="C30" s="5">
        <v>58.472222222222207</v>
      </c>
      <c r="D30" s="7" t="s">
        <v>31</v>
      </c>
    </row>
    <row r="32" spans="1:8" ht="17" x14ac:dyDescent="0.2">
      <c r="A32" s="53" t="s">
        <v>38</v>
      </c>
      <c r="B32" s="54"/>
      <c r="C32" s="54"/>
      <c r="D32" s="54"/>
      <c r="E32" s="54"/>
      <c r="F32" s="54"/>
      <c r="G32" s="54"/>
      <c r="H32" s="54"/>
    </row>
    <row r="33" spans="1:2" x14ac:dyDescent="0.2">
      <c r="A33" t="s">
        <v>39</v>
      </c>
      <c r="B33">
        <v>15633</v>
      </c>
    </row>
    <row r="34" spans="1:2" x14ac:dyDescent="0.2">
      <c r="A34" t="s">
        <v>40</v>
      </c>
      <c r="B34" s="2">
        <v>5891.2652200000002</v>
      </c>
    </row>
    <row r="35" spans="1:2" x14ac:dyDescent="0.2">
      <c r="A35" t="s">
        <v>41</v>
      </c>
      <c r="B35" s="2">
        <v>1216.9775</v>
      </c>
    </row>
    <row r="36" spans="1:2" x14ac:dyDescent="0.2">
      <c r="A36" t="s">
        <v>42</v>
      </c>
      <c r="B36" s="9">
        <v>4674.2877200000003</v>
      </c>
    </row>
  </sheetData>
  <mergeCells count="7">
    <mergeCell ref="A32:H32"/>
    <mergeCell ref="A22:H22"/>
    <mergeCell ref="A18:H18"/>
    <mergeCell ref="A2:F2"/>
    <mergeCell ref="A4:H4"/>
    <mergeCell ref="A1:F1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rightToLeft="1" workbookViewId="0"/>
  </sheetViews>
  <sheetFormatPr baseColWidth="10" defaultColWidth="8.83203125" defaultRowHeight="15" x14ac:dyDescent="0.2"/>
  <cols>
    <col min="1" max="1" width="11" customWidth="1"/>
    <col min="2" max="7" width="18" customWidth="1"/>
    <col min="8" max="9" width="11" customWidth="1"/>
  </cols>
  <sheetData>
    <row r="1" spans="1:9" ht="16" x14ac:dyDescent="0.2">
      <c r="A1" s="1" t="s">
        <v>43</v>
      </c>
      <c r="B1" s="1" t="s">
        <v>28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x14ac:dyDescent="0.2">
      <c r="A2" s="10" t="s">
        <v>51</v>
      </c>
      <c r="B2" s="11">
        <v>75.227549999999994</v>
      </c>
      <c r="C2" s="11">
        <v>80.911639999999991</v>
      </c>
      <c r="D2" s="11">
        <v>-5.6840899999999976</v>
      </c>
      <c r="E2" s="11">
        <v>41.087009999999999</v>
      </c>
      <c r="F2" s="11">
        <v>41.087009999999999</v>
      </c>
      <c r="G2" s="11">
        <v>41.087009999999999</v>
      </c>
      <c r="H2" s="10">
        <v>0</v>
      </c>
      <c r="I2" s="10">
        <v>2131</v>
      </c>
    </row>
    <row r="3" spans="1:9" x14ac:dyDescent="0.2">
      <c r="A3" s="10" t="s">
        <v>52</v>
      </c>
      <c r="B3" s="11">
        <v>93.884200000000007</v>
      </c>
      <c r="C3" s="11">
        <v>93.075533000000007</v>
      </c>
      <c r="D3" s="11">
        <v>0.8086669999999998</v>
      </c>
      <c r="E3" s="11">
        <v>68.850947000000005</v>
      </c>
      <c r="F3" s="11">
        <v>68.850947000000005</v>
      </c>
      <c r="G3" s="11">
        <v>68.850947000000005</v>
      </c>
      <c r="H3" s="10">
        <v>0</v>
      </c>
      <c r="I3" s="10">
        <v>3105</v>
      </c>
    </row>
    <row r="4" spans="1:9" x14ac:dyDescent="0.2">
      <c r="A4" s="10" t="s">
        <v>53</v>
      </c>
      <c r="B4" s="11">
        <v>98.499200000000002</v>
      </c>
      <c r="C4" s="11">
        <v>98.655682999999996</v>
      </c>
      <c r="D4" s="11">
        <v>-0.1564829999999944</v>
      </c>
      <c r="E4" s="11">
        <v>63.883716999999997</v>
      </c>
      <c r="F4" s="11">
        <v>63.883716999999997</v>
      </c>
      <c r="G4" s="11">
        <v>63.883716999999997</v>
      </c>
      <c r="H4" s="10">
        <v>0</v>
      </c>
      <c r="I4" s="10">
        <v>2976</v>
      </c>
    </row>
    <row r="5" spans="1:9" x14ac:dyDescent="0.2">
      <c r="A5" s="10" t="s">
        <v>54</v>
      </c>
      <c r="B5" s="11">
        <v>97.027600000000007</v>
      </c>
      <c r="C5" s="11">
        <v>106.302555</v>
      </c>
      <c r="D5" s="11">
        <v>-9.2749549999999914</v>
      </c>
      <c r="E5" s="11">
        <v>66.884905000000003</v>
      </c>
      <c r="F5" s="11">
        <v>66.884905000000003</v>
      </c>
      <c r="G5" s="11">
        <v>66.884905000000003</v>
      </c>
      <c r="H5" s="10">
        <v>0</v>
      </c>
      <c r="I5" s="10">
        <v>2994</v>
      </c>
    </row>
    <row r="6" spans="1:9" x14ac:dyDescent="0.2">
      <c r="A6" s="10" t="s">
        <v>55</v>
      </c>
      <c r="B6" s="11">
        <v>84.624200000000002</v>
      </c>
      <c r="C6" s="11">
        <v>72.650574000000006</v>
      </c>
      <c r="D6" s="11">
        <v>11.973625999999999</v>
      </c>
      <c r="E6" s="11">
        <v>65.319500000000005</v>
      </c>
      <c r="F6" s="11">
        <v>65.319500000000005</v>
      </c>
      <c r="G6" s="11">
        <v>65.319500000000005</v>
      </c>
      <c r="H6" s="10">
        <v>0</v>
      </c>
      <c r="I6" s="10">
        <v>2726</v>
      </c>
    </row>
    <row r="7" spans="1:9" x14ac:dyDescent="0.2">
      <c r="A7" s="10" t="s">
        <v>56</v>
      </c>
      <c r="B7" s="11">
        <v>86.143000000000001</v>
      </c>
      <c r="C7" s="11">
        <v>71.244129999999998</v>
      </c>
      <c r="D7" s="11">
        <v>14.898870000000001</v>
      </c>
      <c r="E7" s="11">
        <v>63.607500000000002</v>
      </c>
      <c r="F7" s="11">
        <v>63.607500000000002</v>
      </c>
      <c r="G7" s="11">
        <v>63.607500000000002</v>
      </c>
      <c r="H7" s="10">
        <v>0</v>
      </c>
      <c r="I7" s="10">
        <v>2918</v>
      </c>
    </row>
    <row r="8" spans="1:9" x14ac:dyDescent="0.2">
      <c r="A8" s="10" t="s">
        <v>57</v>
      </c>
      <c r="B8" s="11">
        <v>84.807900000000004</v>
      </c>
      <c r="C8" s="11">
        <v>85.97842</v>
      </c>
      <c r="D8" s="11">
        <v>-1.170519999999996</v>
      </c>
      <c r="E8" s="11">
        <v>55.982900000000001</v>
      </c>
      <c r="F8" s="11">
        <v>55.982900000000001</v>
      </c>
      <c r="G8" s="11">
        <v>55.982900000000001</v>
      </c>
      <c r="H8" s="10">
        <v>0</v>
      </c>
      <c r="I8" s="10">
        <v>2868</v>
      </c>
    </row>
    <row r="9" spans="1:9" x14ac:dyDescent="0.2">
      <c r="A9" s="10" t="s">
        <v>58</v>
      </c>
      <c r="B9" s="11">
        <v>104.41001</v>
      </c>
      <c r="C9" s="11">
        <v>80.267125000000007</v>
      </c>
      <c r="D9" s="11">
        <v>24.142884999999989</v>
      </c>
      <c r="E9" s="11">
        <v>69.957319999999996</v>
      </c>
      <c r="F9" s="11">
        <v>69.957319999999996</v>
      </c>
      <c r="G9" s="11">
        <v>69.957319999999996</v>
      </c>
      <c r="H9" s="10">
        <v>0</v>
      </c>
      <c r="I9" s="10">
        <v>3706</v>
      </c>
    </row>
    <row r="10" spans="1:9" x14ac:dyDescent="0.2">
      <c r="A10" s="10" t="s">
        <v>59</v>
      </c>
      <c r="B10" s="11">
        <v>94.485749999999996</v>
      </c>
      <c r="C10" s="11">
        <v>146.54131000000001</v>
      </c>
      <c r="D10" s="11">
        <v>-52.055560000000007</v>
      </c>
      <c r="E10" s="11">
        <v>53.95055</v>
      </c>
      <c r="F10" s="11">
        <v>53.95055</v>
      </c>
      <c r="G10" s="11">
        <v>53.95055</v>
      </c>
      <c r="H10" s="10">
        <v>0</v>
      </c>
      <c r="I10" s="10">
        <v>3424</v>
      </c>
    </row>
    <row r="11" spans="1:9" x14ac:dyDescent="0.2">
      <c r="A11" s="10" t="s">
        <v>60</v>
      </c>
      <c r="B11" s="11">
        <v>91.964799999999997</v>
      </c>
      <c r="C11" s="11">
        <v>85.1875</v>
      </c>
      <c r="D11" s="11">
        <v>6.7772999999999968</v>
      </c>
      <c r="E11" s="11">
        <v>61.074800000000003</v>
      </c>
      <c r="F11" s="11">
        <v>61.074800000000003</v>
      </c>
      <c r="G11" s="11">
        <v>61.074800000000003</v>
      </c>
      <c r="H11" s="10">
        <v>0</v>
      </c>
      <c r="I11" s="10">
        <v>3332</v>
      </c>
    </row>
    <row r="12" spans="1:9" x14ac:dyDescent="0.2">
      <c r="A12" s="10" t="s">
        <v>61</v>
      </c>
      <c r="B12" s="11">
        <v>116.83629999999999</v>
      </c>
      <c r="C12" s="11">
        <v>86.992582999999996</v>
      </c>
      <c r="D12" s="11">
        <v>29.843717000000002</v>
      </c>
      <c r="E12" s="11">
        <v>87.424057000000005</v>
      </c>
      <c r="F12" s="11">
        <v>87.424057000000005</v>
      </c>
      <c r="G12" s="11">
        <v>87.424057000000005</v>
      </c>
      <c r="H12" s="10">
        <v>0</v>
      </c>
      <c r="I12" s="10">
        <v>3834</v>
      </c>
    </row>
    <row r="13" spans="1:9" x14ac:dyDescent="0.2">
      <c r="A13" s="10" t="s">
        <v>62</v>
      </c>
      <c r="B13" s="11">
        <v>90.529455999999996</v>
      </c>
      <c r="C13" s="11">
        <v>85.704162999999994</v>
      </c>
      <c r="D13" s="11">
        <v>4.8252930000000021</v>
      </c>
      <c r="E13" s="11">
        <v>62.098011999999997</v>
      </c>
      <c r="F13" s="11">
        <v>62.098011999999997</v>
      </c>
      <c r="G13" s="11">
        <v>62.098011999999997</v>
      </c>
      <c r="H13" s="10">
        <v>0</v>
      </c>
      <c r="I13" s="10">
        <v>3370</v>
      </c>
    </row>
    <row r="14" spans="1:9" x14ac:dyDescent="0.2">
      <c r="A14" s="10" t="s">
        <v>63</v>
      </c>
      <c r="B14" s="11">
        <v>82.276250000000005</v>
      </c>
      <c r="C14" s="11">
        <v>55.463278000000003</v>
      </c>
      <c r="D14" s="11">
        <v>26.812971999999998</v>
      </c>
      <c r="E14" s="11">
        <v>76.352732000000003</v>
      </c>
      <c r="F14" s="11">
        <v>76.352732000000003</v>
      </c>
      <c r="G14" s="11">
        <v>76.352732000000003</v>
      </c>
      <c r="H14" s="10">
        <v>0</v>
      </c>
      <c r="I14" s="10">
        <v>2917</v>
      </c>
    </row>
    <row r="15" spans="1:9" x14ac:dyDescent="0.2">
      <c r="A15" s="10" t="s">
        <v>64</v>
      </c>
      <c r="B15" s="11">
        <v>105.69029999999999</v>
      </c>
      <c r="C15" s="11">
        <v>110.467078</v>
      </c>
      <c r="D15" s="11">
        <v>-4.7767780000000073</v>
      </c>
      <c r="E15" s="11">
        <v>62.764901999999992</v>
      </c>
      <c r="F15" s="11">
        <v>62.764901999999992</v>
      </c>
      <c r="G15" s="11">
        <v>62.764901999999992</v>
      </c>
      <c r="H15" s="10">
        <v>0</v>
      </c>
      <c r="I15" s="10">
        <v>3615</v>
      </c>
    </row>
    <row r="16" spans="1:9" x14ac:dyDescent="0.2">
      <c r="A16" s="10" t="s">
        <v>65</v>
      </c>
      <c r="B16" s="11">
        <v>99.525000000000006</v>
      </c>
      <c r="C16" s="11">
        <v>73.70919099999999</v>
      </c>
      <c r="D16" s="11">
        <v>25.815809000000019</v>
      </c>
      <c r="E16" s="11">
        <v>78.961889000000014</v>
      </c>
      <c r="F16" s="11">
        <v>78.961889000000014</v>
      </c>
      <c r="G16" s="11">
        <v>78.961889000000014</v>
      </c>
      <c r="H16" s="10">
        <v>0</v>
      </c>
      <c r="I16" s="10">
        <v>3185</v>
      </c>
    </row>
    <row r="17" spans="1:9" x14ac:dyDescent="0.2">
      <c r="A17" s="10" t="s">
        <v>66</v>
      </c>
      <c r="B17" s="11">
        <v>134.66569999999999</v>
      </c>
      <c r="C17" s="11">
        <v>92.846146000000005</v>
      </c>
      <c r="D17" s="11">
        <v>41.819553999999982</v>
      </c>
      <c r="E17" s="11">
        <v>83.983633999999995</v>
      </c>
      <c r="F17" s="11">
        <v>83.983633999999995</v>
      </c>
      <c r="G17" s="11">
        <v>83.983633999999995</v>
      </c>
      <c r="H17" s="10">
        <v>0</v>
      </c>
      <c r="I17" s="10">
        <v>3461</v>
      </c>
    </row>
    <row r="18" spans="1:9" x14ac:dyDescent="0.2">
      <c r="A18" s="10" t="s">
        <v>67</v>
      </c>
      <c r="B18" s="11">
        <v>92.049899999999994</v>
      </c>
      <c r="C18" s="11">
        <v>103.024147</v>
      </c>
      <c r="D18" s="11">
        <v>-10.974247000000011</v>
      </c>
      <c r="E18" s="11">
        <v>29.81079299999999</v>
      </c>
      <c r="F18" s="11">
        <v>29.81079299999999</v>
      </c>
      <c r="G18" s="11">
        <v>29.81079299999999</v>
      </c>
      <c r="H18" s="10">
        <v>0</v>
      </c>
      <c r="I18" s="10">
        <v>3037</v>
      </c>
    </row>
    <row r="19" spans="1:9" x14ac:dyDescent="0.2">
      <c r="A19" s="10" t="s">
        <v>68</v>
      </c>
      <c r="B19" s="11">
        <v>109.45543000000001</v>
      </c>
      <c r="C19" s="11">
        <v>107.21796999999999</v>
      </c>
      <c r="D19" s="11">
        <v>2.2374600000000129</v>
      </c>
      <c r="E19" s="11">
        <v>93.167060000000006</v>
      </c>
      <c r="F19" s="11">
        <v>93.167060000000006</v>
      </c>
      <c r="G19" s="11">
        <v>93.167060000000006</v>
      </c>
      <c r="H19" s="10">
        <v>0</v>
      </c>
      <c r="I19" s="10">
        <v>2969</v>
      </c>
    </row>
    <row r="20" spans="1:9" x14ac:dyDescent="0.2">
      <c r="A20" s="10" t="s">
        <v>69</v>
      </c>
      <c r="B20" s="11">
        <v>98.450299999999999</v>
      </c>
      <c r="C20" s="11">
        <v>80.917722999999995</v>
      </c>
      <c r="D20" s="11">
        <v>17.532577</v>
      </c>
      <c r="E20" s="11">
        <v>71.376337000000007</v>
      </c>
      <c r="F20" s="11">
        <v>71.376337000000007</v>
      </c>
      <c r="G20" s="11">
        <v>71.376337000000007</v>
      </c>
      <c r="H20" s="10">
        <v>0</v>
      </c>
      <c r="I20" s="10">
        <v>3047</v>
      </c>
    </row>
    <row r="21" spans="1:9" x14ac:dyDescent="0.2">
      <c r="A21" s="10" t="s">
        <v>70</v>
      </c>
      <c r="B21" s="11">
        <v>115.15600000000001</v>
      </c>
      <c r="C21" s="11">
        <v>59.983345</v>
      </c>
      <c r="D21" s="11">
        <v>55.172655000000013</v>
      </c>
      <c r="E21" s="11">
        <v>62.262335000000007</v>
      </c>
      <c r="F21" s="11">
        <v>62.262335000000007</v>
      </c>
      <c r="G21" s="11">
        <v>62.262335000000007</v>
      </c>
      <c r="H21" s="10">
        <v>0</v>
      </c>
      <c r="I21" s="10">
        <v>3714</v>
      </c>
    </row>
    <row r="22" spans="1:9" x14ac:dyDescent="0.2">
      <c r="A22" s="10" t="s">
        <v>71</v>
      </c>
      <c r="B22" s="11">
        <v>128.38175000000001</v>
      </c>
      <c r="C22" s="11">
        <v>123.868167</v>
      </c>
      <c r="D22" s="11">
        <v>4.5135830000000112</v>
      </c>
      <c r="E22" s="11">
        <v>75.929903000000024</v>
      </c>
      <c r="F22" s="11">
        <v>75.929903000000024</v>
      </c>
      <c r="G22" s="11">
        <v>75.929903000000024</v>
      </c>
      <c r="H22" s="10">
        <v>0</v>
      </c>
      <c r="I22" s="10">
        <v>3691</v>
      </c>
    </row>
    <row r="23" spans="1:9" x14ac:dyDescent="0.2">
      <c r="A23" s="10" t="s">
        <v>72</v>
      </c>
      <c r="B23" s="11">
        <v>106.81055000000001</v>
      </c>
      <c r="C23" s="11">
        <v>114.208113</v>
      </c>
      <c r="D23" s="11">
        <v>-7.397562999999991</v>
      </c>
      <c r="E23" s="11">
        <v>56.315716999999999</v>
      </c>
      <c r="F23" s="11">
        <v>56.315716999999999</v>
      </c>
      <c r="G23" s="11">
        <v>56.315716999999999</v>
      </c>
      <c r="H23" s="10">
        <v>0</v>
      </c>
      <c r="I23" s="10">
        <v>3651</v>
      </c>
    </row>
    <row r="24" spans="1:9" x14ac:dyDescent="0.2">
      <c r="A24" s="10" t="s">
        <v>73</v>
      </c>
      <c r="B24" s="11">
        <v>104.03612699999999</v>
      </c>
      <c r="C24" s="11">
        <v>58.983339999999998</v>
      </c>
      <c r="D24" s="11">
        <v>45.052787000000002</v>
      </c>
      <c r="E24" s="11">
        <v>78.296627000000001</v>
      </c>
      <c r="F24" s="11">
        <v>78.296627000000001</v>
      </c>
      <c r="G24" s="11">
        <v>78.296627000000001</v>
      </c>
      <c r="H24" s="10">
        <v>0</v>
      </c>
      <c r="I24" s="10">
        <v>3660</v>
      </c>
    </row>
    <row r="25" spans="1:9" x14ac:dyDescent="0.2">
      <c r="A25" s="10" t="s">
        <v>74</v>
      </c>
      <c r="B25" s="11">
        <v>105.0813</v>
      </c>
      <c r="C25" s="11">
        <v>91.020431000000002</v>
      </c>
      <c r="D25" s="11">
        <v>14.060869</v>
      </c>
      <c r="E25" s="11">
        <v>86.629109</v>
      </c>
      <c r="F25" s="11">
        <v>86.629109</v>
      </c>
      <c r="G25" s="11">
        <v>86.629109</v>
      </c>
      <c r="H25" s="10">
        <v>0</v>
      </c>
      <c r="I25" s="10">
        <v>3685</v>
      </c>
    </row>
    <row r="26" spans="1:9" x14ac:dyDescent="0.2">
      <c r="A26" s="10" t="s">
        <v>75</v>
      </c>
      <c r="B26" s="11">
        <v>117.67675</v>
      </c>
      <c r="C26" s="11">
        <v>111.56079</v>
      </c>
      <c r="D26" s="11">
        <v>6.1159600000000012</v>
      </c>
      <c r="E26" s="11">
        <v>98.156807999999998</v>
      </c>
      <c r="F26" s="11">
        <v>98.156807999999998</v>
      </c>
      <c r="G26" s="11">
        <v>98.156807999999998</v>
      </c>
      <c r="H26" s="10">
        <v>0</v>
      </c>
      <c r="I26" s="10">
        <v>4364</v>
      </c>
    </row>
    <row r="27" spans="1:9" x14ac:dyDescent="0.2">
      <c r="A27" s="10" t="s">
        <v>76</v>
      </c>
      <c r="B27" s="11">
        <v>192.27856</v>
      </c>
      <c r="C27" s="11">
        <v>96.134224999999986</v>
      </c>
      <c r="D27" s="11">
        <v>96.144335000000012</v>
      </c>
      <c r="E27" s="11">
        <v>150.113215</v>
      </c>
      <c r="F27" s="11">
        <v>150.113215</v>
      </c>
      <c r="G27" s="11">
        <v>150.113215</v>
      </c>
      <c r="H27" s="10">
        <v>0</v>
      </c>
      <c r="I27" s="10">
        <v>3912</v>
      </c>
    </row>
    <row r="28" spans="1:9" x14ac:dyDescent="0.2">
      <c r="A28" s="10" t="s">
        <v>77</v>
      </c>
      <c r="B28" s="11">
        <v>140.34665000000001</v>
      </c>
      <c r="C28" s="11">
        <v>111.093288</v>
      </c>
      <c r="D28" s="11">
        <v>29.25336200000001</v>
      </c>
      <c r="E28" s="11">
        <v>69.950002000000012</v>
      </c>
      <c r="F28" s="11">
        <v>69.950002000000012</v>
      </c>
      <c r="G28" s="11">
        <v>69.950002000000012</v>
      </c>
      <c r="H28" s="10">
        <v>0</v>
      </c>
      <c r="I28" s="10">
        <v>4367</v>
      </c>
    </row>
    <row r="29" spans="1:9" x14ac:dyDescent="0.2">
      <c r="A29" s="10" t="s">
        <v>78</v>
      </c>
      <c r="B29" s="11">
        <v>119.362555</v>
      </c>
      <c r="C29" s="11">
        <v>126.125951</v>
      </c>
      <c r="D29" s="11">
        <v>-6.7633960000000002</v>
      </c>
      <c r="E29" s="11">
        <v>81.152444000000003</v>
      </c>
      <c r="F29" s="11">
        <v>81.152444000000003</v>
      </c>
      <c r="G29" s="11">
        <v>81.152444000000003</v>
      </c>
      <c r="H29" s="10">
        <v>0</v>
      </c>
      <c r="I29" s="10">
        <v>3946</v>
      </c>
    </row>
    <row r="30" spans="1:9" x14ac:dyDescent="0.2">
      <c r="A30" s="10" t="s">
        <v>79</v>
      </c>
      <c r="B30" s="11">
        <v>118.50799499999999</v>
      </c>
      <c r="C30" s="11">
        <v>16.341695999999999</v>
      </c>
      <c r="D30" s="11">
        <v>102.166299</v>
      </c>
      <c r="E30" s="11">
        <v>102.166299</v>
      </c>
      <c r="F30" s="11">
        <v>102.166299</v>
      </c>
      <c r="G30" s="11">
        <v>102.166299</v>
      </c>
      <c r="H30" s="10">
        <v>0</v>
      </c>
      <c r="I30" s="10">
        <v>3387</v>
      </c>
    </row>
    <row r="31" spans="1:9" x14ac:dyDescent="0.2">
      <c r="A31" s="10" t="s">
        <v>80</v>
      </c>
      <c r="B31" s="11">
        <v>169.20758000000001</v>
      </c>
      <c r="C31" s="11">
        <v>115.74476</v>
      </c>
      <c r="D31" s="11">
        <v>53.462820000000008</v>
      </c>
      <c r="E31" s="11">
        <v>149.63658000000001</v>
      </c>
      <c r="F31" s="11">
        <v>149.63658000000001</v>
      </c>
      <c r="G31" s="11">
        <v>149.63658000000001</v>
      </c>
      <c r="H31" s="10">
        <v>0</v>
      </c>
      <c r="I31" s="10">
        <v>3497</v>
      </c>
    </row>
    <row r="32" spans="1:9" x14ac:dyDescent="0.2">
      <c r="A32" s="10" t="s">
        <v>81</v>
      </c>
      <c r="B32" s="11">
        <v>230.9631</v>
      </c>
      <c r="C32" s="11">
        <v>173.79733400000001</v>
      </c>
      <c r="D32" s="11">
        <v>57.165765999999991</v>
      </c>
      <c r="E32" s="11">
        <v>104.34552600000001</v>
      </c>
      <c r="F32" s="11">
        <v>104.34552600000001</v>
      </c>
      <c r="G32" s="11">
        <v>104.34552600000001</v>
      </c>
      <c r="H32" s="10">
        <v>0</v>
      </c>
      <c r="I32" s="10">
        <v>3232</v>
      </c>
    </row>
    <row r="33" spans="1:9" x14ac:dyDescent="0.2">
      <c r="A33" s="10" t="s">
        <v>82</v>
      </c>
      <c r="B33" s="11">
        <v>111.030781</v>
      </c>
      <c r="C33" s="11">
        <v>156.300229</v>
      </c>
      <c r="D33" s="11">
        <v>-45.269447999999997</v>
      </c>
      <c r="E33" s="11">
        <v>26.637832</v>
      </c>
      <c r="F33" s="11">
        <v>26.637832</v>
      </c>
      <c r="G33" s="11">
        <v>26.637832</v>
      </c>
      <c r="H33" s="10">
        <v>0</v>
      </c>
      <c r="I33" s="10">
        <v>3728</v>
      </c>
    </row>
    <row r="34" spans="1:9" x14ac:dyDescent="0.2">
      <c r="A34" s="10" t="s">
        <v>83</v>
      </c>
      <c r="B34" s="11">
        <v>114.43458</v>
      </c>
      <c r="C34" s="11">
        <v>230.363711</v>
      </c>
      <c r="D34" s="11">
        <v>-115.929131</v>
      </c>
      <c r="E34" s="11">
        <v>28.598441000000012</v>
      </c>
      <c r="F34" s="11">
        <v>28.598441000000012</v>
      </c>
      <c r="G34" s="11">
        <v>28.598441000000012</v>
      </c>
      <c r="H34" s="10">
        <v>0</v>
      </c>
      <c r="I34" s="10">
        <v>3143</v>
      </c>
    </row>
    <row r="35" spans="1:9" x14ac:dyDescent="0.2">
      <c r="A35" s="10" t="s">
        <v>84</v>
      </c>
      <c r="B35" s="11">
        <v>110.79984899999999</v>
      </c>
      <c r="C35" s="11">
        <v>21.116406999999999</v>
      </c>
      <c r="D35" s="11">
        <v>89.683441999999985</v>
      </c>
      <c r="E35" s="11">
        <v>89.683441999999985</v>
      </c>
      <c r="F35" s="11">
        <v>89.683441999999985</v>
      </c>
      <c r="G35" s="11">
        <v>89.683441999999985</v>
      </c>
      <c r="H35" s="10">
        <v>0</v>
      </c>
      <c r="I35" s="10">
        <v>3396</v>
      </c>
    </row>
    <row r="36" spans="1:9" x14ac:dyDescent="0.2">
      <c r="A36" s="10" t="s">
        <v>85</v>
      </c>
      <c r="B36" s="11">
        <v>111.01114</v>
      </c>
      <c r="C36" s="11">
        <v>105.951055</v>
      </c>
      <c r="D36" s="11">
        <v>5.0600849999999866</v>
      </c>
      <c r="E36" s="11">
        <v>74.049134999999993</v>
      </c>
      <c r="F36" s="11">
        <v>74.049134999999993</v>
      </c>
      <c r="G36" s="11">
        <v>74.049134999999993</v>
      </c>
      <c r="H36" s="10">
        <v>0</v>
      </c>
      <c r="I36" s="10">
        <v>3358</v>
      </c>
    </row>
    <row r="37" spans="1:9" x14ac:dyDescent="0.2">
      <c r="A37" s="10" t="s">
        <v>86</v>
      </c>
      <c r="B37" s="11">
        <v>87.884119999999996</v>
      </c>
      <c r="C37" s="11">
        <v>32.455072000000001</v>
      </c>
      <c r="D37" s="11">
        <v>55.429047999999987</v>
      </c>
      <c r="E37" s="11">
        <v>55.429047999999987</v>
      </c>
      <c r="F37" s="11">
        <v>55.429047999999987</v>
      </c>
      <c r="G37" s="11">
        <v>55.429047999999987</v>
      </c>
      <c r="H37" s="10">
        <v>0</v>
      </c>
      <c r="I37" s="10">
        <v>2370</v>
      </c>
    </row>
    <row r="38" spans="1:9" x14ac:dyDescent="0.2">
      <c r="A38" s="10" t="s">
        <v>87</v>
      </c>
      <c r="B38" s="11">
        <v>104.00178</v>
      </c>
      <c r="C38" s="11">
        <v>34.483220000000003</v>
      </c>
      <c r="D38" s="11">
        <v>69.518559999999994</v>
      </c>
      <c r="E38" s="11">
        <v>69.518559999999994</v>
      </c>
      <c r="F38" s="11">
        <v>69.518559999999994</v>
      </c>
      <c r="G38" s="11">
        <v>69.518559999999994</v>
      </c>
      <c r="H38" s="10">
        <v>0</v>
      </c>
      <c r="I38" s="10">
        <v>3010</v>
      </c>
    </row>
    <row r="39" spans="1:9" x14ac:dyDescent="0.2">
      <c r="A39" s="10" t="s">
        <v>88</v>
      </c>
      <c r="B39" s="11">
        <v>102.478576</v>
      </c>
      <c r="C39" s="11">
        <v>182.322519</v>
      </c>
      <c r="D39" s="11">
        <v>-79.843942999999996</v>
      </c>
      <c r="E39" s="11">
        <v>41.777557000000002</v>
      </c>
      <c r="F39" s="11">
        <v>41.777557000000002</v>
      </c>
      <c r="G39" s="11">
        <v>41.777557000000002</v>
      </c>
      <c r="H39" s="10">
        <v>0</v>
      </c>
      <c r="I39" s="10">
        <v>3525</v>
      </c>
    </row>
    <row r="40" spans="1:9" x14ac:dyDescent="0.2">
      <c r="A40" s="10" t="s">
        <v>89</v>
      </c>
      <c r="B40" s="11">
        <v>116.36199999999999</v>
      </c>
      <c r="C40" s="11">
        <v>67.807672999999994</v>
      </c>
      <c r="D40" s="11">
        <v>48.554327000000001</v>
      </c>
      <c r="E40" s="11">
        <v>48.554327000000001</v>
      </c>
      <c r="F40" s="11">
        <v>48.554327000000001</v>
      </c>
      <c r="G40" s="11">
        <v>48.554327000000001</v>
      </c>
      <c r="H40" s="10">
        <v>0</v>
      </c>
      <c r="I40" s="10">
        <v>6810</v>
      </c>
    </row>
    <row r="41" spans="1:9" x14ac:dyDescent="0.2">
      <c r="A41" s="10" t="s">
        <v>90</v>
      </c>
      <c r="B41" s="11">
        <v>112.748751</v>
      </c>
      <c r="C41" s="11">
        <v>76.764741000000001</v>
      </c>
      <c r="D41" s="11">
        <v>35.984009999999998</v>
      </c>
      <c r="E41" s="11">
        <v>35.984009999999998</v>
      </c>
      <c r="F41" s="11">
        <v>35.984009999999998</v>
      </c>
      <c r="G41" s="11">
        <v>35.984009999999998</v>
      </c>
      <c r="H41" s="10">
        <v>0</v>
      </c>
      <c r="I41" s="10">
        <v>3256</v>
      </c>
    </row>
    <row r="42" spans="1:9" x14ac:dyDescent="0.2">
      <c r="A42" s="10" t="s">
        <v>91</v>
      </c>
      <c r="B42" s="11">
        <v>105.85688</v>
      </c>
      <c r="C42" s="11">
        <v>180.13979699999999</v>
      </c>
      <c r="D42" s="11">
        <v>-74.282916999999983</v>
      </c>
      <c r="E42" s="11">
        <v>12.898733000000011</v>
      </c>
      <c r="F42" s="11">
        <v>12.898733000000011</v>
      </c>
      <c r="G42" s="11">
        <v>12.898733000000011</v>
      </c>
      <c r="H42" s="10">
        <v>0</v>
      </c>
      <c r="I42" s="10">
        <v>5455</v>
      </c>
    </row>
    <row r="43" spans="1:9" x14ac:dyDescent="0.2">
      <c r="A43" s="10" t="s">
        <v>92</v>
      </c>
      <c r="B43" s="11">
        <v>119.2183</v>
      </c>
      <c r="C43" s="11">
        <v>43.690714</v>
      </c>
      <c r="D43" s="11">
        <v>75.527585999999999</v>
      </c>
      <c r="E43" s="11">
        <v>75.527585999999999</v>
      </c>
      <c r="F43" s="11">
        <v>75.527585999999999</v>
      </c>
      <c r="G43" s="11">
        <v>75.527585999999999</v>
      </c>
      <c r="H43" s="10">
        <v>0</v>
      </c>
      <c r="I43" s="10">
        <v>4134</v>
      </c>
    </row>
    <row r="44" spans="1:9" x14ac:dyDescent="0.2">
      <c r="A44" s="10" t="s">
        <v>93</v>
      </c>
      <c r="B44" s="11">
        <v>150.30199999999999</v>
      </c>
      <c r="C44" s="11">
        <v>128.838753</v>
      </c>
      <c r="D44" s="11">
        <v>21.463246999999999</v>
      </c>
      <c r="E44" s="11">
        <v>87.860297000000003</v>
      </c>
      <c r="F44" s="11">
        <v>87.860297000000003</v>
      </c>
      <c r="G44" s="11">
        <v>87.860297000000003</v>
      </c>
      <c r="H44" s="10">
        <v>0</v>
      </c>
      <c r="I44" s="10">
        <v>4068</v>
      </c>
    </row>
    <row r="45" spans="1:9" x14ac:dyDescent="0.2">
      <c r="A45" s="10" t="s">
        <v>94</v>
      </c>
      <c r="B45" s="11">
        <v>107.2238</v>
      </c>
      <c r="C45" s="11">
        <v>100.617531</v>
      </c>
      <c r="D45" s="11">
        <v>6.6062689999999833</v>
      </c>
      <c r="E45" s="11">
        <v>6.6062689999999833</v>
      </c>
      <c r="F45" s="11">
        <v>6.6062689999999833</v>
      </c>
      <c r="G45" s="11">
        <v>6.6062689999999833</v>
      </c>
      <c r="H45" s="10">
        <v>0</v>
      </c>
      <c r="I45" s="10">
        <v>3574</v>
      </c>
    </row>
    <row r="46" spans="1:9" x14ac:dyDescent="0.2">
      <c r="A46" s="10" t="s">
        <v>95</v>
      </c>
      <c r="B46" s="11">
        <v>100.98175000000001</v>
      </c>
      <c r="C46" s="11">
        <v>37.931738000000003</v>
      </c>
      <c r="D46" s="11">
        <v>63.050012000000009</v>
      </c>
      <c r="E46" s="11">
        <v>63.050012000000009</v>
      </c>
      <c r="F46" s="11">
        <v>63.050012000000009</v>
      </c>
      <c r="G46" s="11">
        <v>63.050012000000009</v>
      </c>
      <c r="H46" s="10">
        <v>0</v>
      </c>
      <c r="I46" s="10">
        <v>3465</v>
      </c>
    </row>
    <row r="47" spans="1:9" x14ac:dyDescent="0.2">
      <c r="A47" s="10" t="s">
        <v>96</v>
      </c>
      <c r="B47" s="11">
        <v>89.150316000000004</v>
      </c>
      <c r="C47" s="11">
        <v>219.78789900000001</v>
      </c>
      <c r="D47" s="11">
        <v>-130.63758300000001</v>
      </c>
      <c r="E47" s="12">
        <v>-14.573332999999989</v>
      </c>
      <c r="F47" s="11">
        <v>-14.573332999999989</v>
      </c>
      <c r="G47" s="11">
        <v>-14.573332999999989</v>
      </c>
      <c r="H47" s="10">
        <v>0</v>
      </c>
      <c r="I47" s="10">
        <v>3070</v>
      </c>
    </row>
    <row r="48" spans="1:9" x14ac:dyDescent="0.2">
      <c r="A48" s="10" t="s">
        <v>97</v>
      </c>
      <c r="B48" s="11">
        <v>81.644750000000002</v>
      </c>
      <c r="C48" s="11">
        <v>53.889000000000003</v>
      </c>
      <c r="D48" s="11">
        <v>27.755749999999999</v>
      </c>
      <c r="E48" s="11">
        <v>27.755749999999999</v>
      </c>
      <c r="F48" s="11">
        <v>27.755749999999999</v>
      </c>
      <c r="G48" s="11">
        <v>27.755749999999999</v>
      </c>
      <c r="H48" s="10">
        <v>0</v>
      </c>
      <c r="I48" s="10">
        <v>2561</v>
      </c>
    </row>
    <row r="49" spans="1:9" x14ac:dyDescent="0.2">
      <c r="A49" s="10" t="s">
        <v>98</v>
      </c>
      <c r="B49" s="11">
        <v>97.348690000000005</v>
      </c>
      <c r="C49" s="11">
        <v>82.042999999999992</v>
      </c>
      <c r="D49" s="11">
        <v>15.305690000000009</v>
      </c>
      <c r="E49" s="11">
        <v>15.305690000000009</v>
      </c>
      <c r="F49" s="11">
        <v>15.305690000000009</v>
      </c>
      <c r="G49" s="11">
        <v>15.305690000000009</v>
      </c>
      <c r="H49" s="10">
        <v>0</v>
      </c>
      <c r="I49" s="10">
        <v>4489</v>
      </c>
    </row>
    <row r="50" spans="1:9" x14ac:dyDescent="0.2">
      <c r="A50" s="13" t="s">
        <v>99</v>
      </c>
      <c r="B50" s="14">
        <v>99.344945351932537</v>
      </c>
      <c r="C50" s="14">
        <v>25.410025824332589</v>
      </c>
      <c r="D50" s="14">
        <v>73.934919527599945</v>
      </c>
      <c r="E50" s="14">
        <v>81.131182101932538</v>
      </c>
      <c r="F50" s="14">
        <v>66.131182101932538</v>
      </c>
      <c r="G50" s="14">
        <v>46.132781726932542</v>
      </c>
      <c r="H50" s="13">
        <v>1</v>
      </c>
      <c r="I50" s="13"/>
    </row>
    <row r="51" spans="1:9" x14ac:dyDescent="0.2">
      <c r="A51" s="13" t="s">
        <v>100</v>
      </c>
      <c r="B51" s="14">
        <v>129.51381295682049</v>
      </c>
      <c r="C51" s="14">
        <v>43.821987162994652</v>
      </c>
      <c r="D51" s="14">
        <v>85.691825793825899</v>
      </c>
      <c r="E51" s="14">
        <v>108.9860211443206</v>
      </c>
      <c r="F51" s="14">
        <v>93.98602114432056</v>
      </c>
      <c r="G51" s="14">
        <v>73.987620769320557</v>
      </c>
      <c r="H51" s="13">
        <v>1</v>
      </c>
      <c r="I51" s="13"/>
    </row>
    <row r="52" spans="1:9" x14ac:dyDescent="0.2">
      <c r="A52" s="13" t="s">
        <v>101</v>
      </c>
      <c r="B52" s="14">
        <v>119.13901719254309</v>
      </c>
      <c r="C52" s="14">
        <v>50.254706970656677</v>
      </c>
      <c r="D52" s="14">
        <v>68.884310221886381</v>
      </c>
      <c r="E52" s="14">
        <v>92.410454130043036</v>
      </c>
      <c r="F52" s="14">
        <v>77.410454130043036</v>
      </c>
      <c r="G52" s="14">
        <v>57.412053755043033</v>
      </c>
      <c r="H52" s="13">
        <v>1</v>
      </c>
      <c r="I52" s="13"/>
    </row>
    <row r="53" spans="1:9" x14ac:dyDescent="0.2">
      <c r="A53" s="13" t="s">
        <v>102</v>
      </c>
      <c r="B53" s="14">
        <v>121.5157975242269</v>
      </c>
      <c r="C53" s="14">
        <v>51.499012968070417</v>
      </c>
      <c r="D53" s="14">
        <v>70.016784556156495</v>
      </c>
      <c r="E53" s="14">
        <v>91.123308586726921</v>
      </c>
      <c r="F53" s="14">
        <v>76.123308586726921</v>
      </c>
      <c r="G53" s="14">
        <v>56.124908211726918</v>
      </c>
      <c r="H53" s="13">
        <v>1</v>
      </c>
      <c r="I53" s="13"/>
    </row>
    <row r="54" spans="1:9" x14ac:dyDescent="0.2">
      <c r="A54" s="13" t="s">
        <v>103</v>
      </c>
      <c r="B54" s="14">
        <v>105.0713387814512</v>
      </c>
      <c r="C54" s="14">
        <v>50.622416076789769</v>
      </c>
      <c r="D54" s="14">
        <v>54.448922704661463</v>
      </c>
      <c r="E54" s="14">
        <v>73.141387531451244</v>
      </c>
      <c r="F54" s="14">
        <v>58.141387531451237</v>
      </c>
      <c r="G54" s="14">
        <v>38.142987156451241</v>
      </c>
      <c r="H54" s="13">
        <v>1</v>
      </c>
      <c r="I54" s="13"/>
    </row>
    <row r="55" spans="1:9" x14ac:dyDescent="0.2">
      <c r="A55" s="13" t="s">
        <v>104</v>
      </c>
      <c r="B55" s="14">
        <v>126.81331597376079</v>
      </c>
      <c r="C55" s="14">
        <v>27.164224753833238</v>
      </c>
      <c r="D55" s="14">
        <v>99.649091219927598</v>
      </c>
      <c r="E55" s="14">
        <v>109.27191057376081</v>
      </c>
      <c r="F55" s="14">
        <v>94.271910573760834</v>
      </c>
      <c r="G55" s="14">
        <v>74.273510198760832</v>
      </c>
      <c r="H55" s="13">
        <v>1</v>
      </c>
      <c r="I55" s="13"/>
    </row>
    <row r="56" spans="1:9" x14ac:dyDescent="0.2">
      <c r="A56" s="13" t="s">
        <v>105</v>
      </c>
      <c r="B56" s="14">
        <v>147.90387618640511</v>
      </c>
      <c r="C56" s="14">
        <v>63.696096582223753</v>
      </c>
      <c r="D56" s="14">
        <v>84.207779604181383</v>
      </c>
      <c r="E56" s="14">
        <v>113.83912818640511</v>
      </c>
      <c r="F56" s="14">
        <v>98.839128186405148</v>
      </c>
      <c r="G56" s="14">
        <v>78.840727811405145</v>
      </c>
      <c r="H56" s="13">
        <v>1</v>
      </c>
      <c r="I56" s="13"/>
    </row>
    <row r="57" spans="1:9" x14ac:dyDescent="0.2">
      <c r="A57" s="13" t="s">
        <v>106</v>
      </c>
      <c r="B57" s="14">
        <v>114.70804213594501</v>
      </c>
      <c r="C57" s="14">
        <v>73.316418939781684</v>
      </c>
      <c r="D57" s="14">
        <v>41.391623196163337</v>
      </c>
      <c r="E57" s="14">
        <v>63.347077073445007</v>
      </c>
      <c r="F57" s="14">
        <v>48.347077073445007</v>
      </c>
      <c r="G57" s="14">
        <v>28.348676698445011</v>
      </c>
      <c r="H57" s="13">
        <v>1</v>
      </c>
      <c r="I57" s="13"/>
    </row>
    <row r="58" spans="1:9" x14ac:dyDescent="0.2">
      <c r="A58" s="13" t="s">
        <v>107</v>
      </c>
      <c r="B58" s="14">
        <v>114.829409745928</v>
      </c>
      <c r="C58" s="14">
        <v>55.371997583168188</v>
      </c>
      <c r="D58" s="14">
        <v>59.45741216275983</v>
      </c>
      <c r="E58" s="14">
        <v>90.03830659592802</v>
      </c>
      <c r="F58" s="14">
        <v>75.03830659592802</v>
      </c>
      <c r="G58" s="14">
        <v>55.039906220928017</v>
      </c>
      <c r="H58" s="13">
        <v>1</v>
      </c>
      <c r="I58" s="13"/>
    </row>
    <row r="59" spans="1:9" x14ac:dyDescent="0.2">
      <c r="A59" s="13" t="s">
        <v>108</v>
      </c>
      <c r="B59" s="14">
        <v>104.46521729558479</v>
      </c>
      <c r="C59" s="14">
        <v>55.647265829676037</v>
      </c>
      <c r="D59" s="14">
        <v>48.817951465908791</v>
      </c>
      <c r="E59" s="14">
        <v>64.856374208084844</v>
      </c>
      <c r="F59" s="14">
        <v>49.856374208084837</v>
      </c>
      <c r="G59" s="14">
        <v>29.857973833084841</v>
      </c>
      <c r="H59" s="13">
        <v>1</v>
      </c>
      <c r="I59" s="13"/>
    </row>
    <row r="60" spans="1:9" x14ac:dyDescent="0.2">
      <c r="A60" s="13" t="s">
        <v>109</v>
      </c>
      <c r="B60" s="14">
        <v>108.343519208402</v>
      </c>
      <c r="C60" s="14">
        <v>39.782295103372093</v>
      </c>
      <c r="D60" s="14">
        <v>68.561224105029936</v>
      </c>
      <c r="E60" s="14">
        <v>78.219772908402049</v>
      </c>
      <c r="F60" s="14">
        <v>63.219772908402049</v>
      </c>
      <c r="G60" s="14">
        <v>43.221372533402047</v>
      </c>
      <c r="H60" s="13">
        <v>1</v>
      </c>
      <c r="I60" s="13"/>
    </row>
    <row r="61" spans="1:9" x14ac:dyDescent="0.2">
      <c r="A61" s="13" t="s">
        <v>110</v>
      </c>
      <c r="B61" s="14">
        <v>99.780185569050943</v>
      </c>
      <c r="C61" s="14">
        <v>43.308911402721783</v>
      </c>
      <c r="D61" s="14">
        <v>56.471274166329167</v>
      </c>
      <c r="E61" s="14">
        <v>70.070019806550945</v>
      </c>
      <c r="F61" s="14">
        <v>55.070019806550953</v>
      </c>
      <c r="G61" s="14">
        <v>35.071619431550943</v>
      </c>
      <c r="H61" s="13">
        <v>1</v>
      </c>
      <c r="I61" s="13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rightToLeft="1" workbookViewId="0"/>
  </sheetViews>
  <sheetFormatPr baseColWidth="10" defaultColWidth="8.83203125" defaultRowHeight="15" x14ac:dyDescent="0.2"/>
  <cols>
    <col min="1" max="1" width="10" customWidth="1"/>
    <col min="2" max="3" width="20" customWidth="1"/>
    <col min="4" max="4" width="21" customWidth="1"/>
    <col min="5" max="5" width="10" customWidth="1"/>
  </cols>
  <sheetData>
    <row r="1" spans="1:5" ht="16" x14ac:dyDescent="0.2">
      <c r="A1" s="1" t="s">
        <v>43</v>
      </c>
      <c r="B1" s="1" t="s">
        <v>28</v>
      </c>
      <c r="C1" s="1" t="s">
        <v>111</v>
      </c>
      <c r="D1" s="1" t="s">
        <v>46</v>
      </c>
      <c r="E1" s="1" t="s">
        <v>49</v>
      </c>
    </row>
    <row r="2" spans="1:5" x14ac:dyDescent="0.2">
      <c r="A2" t="s">
        <v>51</v>
      </c>
      <c r="B2" s="2">
        <v>75.227549999999994</v>
      </c>
      <c r="C2" s="2">
        <v>13.900539999999999</v>
      </c>
      <c r="D2" s="2">
        <v>41.087009999999999</v>
      </c>
      <c r="E2">
        <v>0</v>
      </c>
    </row>
    <row r="3" spans="1:5" x14ac:dyDescent="0.2">
      <c r="A3" t="s">
        <v>52</v>
      </c>
      <c r="B3" s="2">
        <v>93.884200000000007</v>
      </c>
      <c r="C3" s="2">
        <v>8.0352530000000009</v>
      </c>
      <c r="D3" s="2">
        <v>68.850947000000005</v>
      </c>
      <c r="E3">
        <v>0</v>
      </c>
    </row>
    <row r="4" spans="1:5" x14ac:dyDescent="0.2">
      <c r="A4" t="s">
        <v>53</v>
      </c>
      <c r="B4" s="2">
        <v>98.499200000000002</v>
      </c>
      <c r="C4" s="2">
        <v>18.066483000000002</v>
      </c>
      <c r="D4" s="2">
        <v>63.883716999999997</v>
      </c>
      <c r="E4">
        <v>0</v>
      </c>
    </row>
    <row r="5" spans="1:5" x14ac:dyDescent="0.2">
      <c r="A5" t="s">
        <v>54</v>
      </c>
      <c r="B5" s="2">
        <v>97.027600000000007</v>
      </c>
      <c r="C5" s="2">
        <v>9.7620869999999993</v>
      </c>
      <c r="D5" s="2">
        <v>66.884905000000003</v>
      </c>
      <c r="E5">
        <v>0</v>
      </c>
    </row>
    <row r="6" spans="1:5" x14ac:dyDescent="0.2">
      <c r="A6" t="s">
        <v>55</v>
      </c>
      <c r="B6" s="2">
        <v>84.624200000000002</v>
      </c>
      <c r="C6" s="2">
        <v>12.37875</v>
      </c>
      <c r="D6" s="2">
        <v>65.319500000000005</v>
      </c>
      <c r="E6">
        <v>0</v>
      </c>
    </row>
    <row r="7" spans="1:5" x14ac:dyDescent="0.2">
      <c r="A7" t="s">
        <v>56</v>
      </c>
      <c r="B7" s="2">
        <v>86.143000000000001</v>
      </c>
      <c r="C7" s="2">
        <v>6.7904999999999989</v>
      </c>
      <c r="D7" s="2">
        <v>63.607500000000002</v>
      </c>
      <c r="E7">
        <v>0</v>
      </c>
    </row>
    <row r="8" spans="1:5" x14ac:dyDescent="0.2">
      <c r="A8" t="s">
        <v>57</v>
      </c>
      <c r="B8" s="2">
        <v>84.807900000000004</v>
      </c>
      <c r="C8" s="2">
        <v>10.318</v>
      </c>
      <c r="D8" s="2">
        <v>55.982900000000001</v>
      </c>
      <c r="E8">
        <v>0</v>
      </c>
    </row>
    <row r="9" spans="1:5" x14ac:dyDescent="0.2">
      <c r="A9" t="s">
        <v>58</v>
      </c>
      <c r="B9" s="2">
        <v>104.41001</v>
      </c>
      <c r="C9" s="2">
        <v>15.29369</v>
      </c>
      <c r="D9" s="2">
        <v>69.957319999999996</v>
      </c>
      <c r="E9">
        <v>0</v>
      </c>
    </row>
    <row r="10" spans="1:5" x14ac:dyDescent="0.2">
      <c r="A10" t="s">
        <v>59</v>
      </c>
      <c r="B10" s="2">
        <v>94.485749999999996</v>
      </c>
      <c r="C10" s="2">
        <v>10.9062</v>
      </c>
      <c r="D10" s="2">
        <v>53.95055</v>
      </c>
      <c r="E10">
        <v>0</v>
      </c>
    </row>
    <row r="11" spans="1:5" x14ac:dyDescent="0.2">
      <c r="A11" t="s">
        <v>60</v>
      </c>
      <c r="B11" s="2">
        <v>91.964799999999997</v>
      </c>
      <c r="C11" s="2">
        <v>9.706999999999999</v>
      </c>
      <c r="D11" s="2">
        <v>61.074800000000003</v>
      </c>
      <c r="E11">
        <v>0</v>
      </c>
    </row>
    <row r="12" spans="1:5" x14ac:dyDescent="0.2">
      <c r="A12" t="s">
        <v>61</v>
      </c>
      <c r="B12" s="2">
        <v>116.83629999999999</v>
      </c>
      <c r="C12" s="2">
        <v>17.837243000000001</v>
      </c>
      <c r="D12" s="2">
        <v>87.424057000000005</v>
      </c>
      <c r="E12">
        <v>0</v>
      </c>
    </row>
    <row r="13" spans="1:5" x14ac:dyDescent="0.2">
      <c r="A13" t="s">
        <v>62</v>
      </c>
      <c r="B13" s="2">
        <v>90.529455999999996</v>
      </c>
      <c r="C13" s="2">
        <v>12.178444000000001</v>
      </c>
      <c r="D13" s="2">
        <v>62.098011999999997</v>
      </c>
      <c r="E13">
        <v>0</v>
      </c>
    </row>
    <row r="14" spans="1:5" x14ac:dyDescent="0.2">
      <c r="A14" t="s">
        <v>63</v>
      </c>
      <c r="B14" s="2">
        <v>82.276250000000005</v>
      </c>
      <c r="C14" s="2">
        <v>5.863518</v>
      </c>
      <c r="D14" s="2">
        <v>76.352732000000003</v>
      </c>
      <c r="E14">
        <v>0</v>
      </c>
    </row>
    <row r="15" spans="1:5" x14ac:dyDescent="0.2">
      <c r="A15" t="s">
        <v>64</v>
      </c>
      <c r="B15" s="2">
        <v>105.69029999999999</v>
      </c>
      <c r="C15" s="2">
        <v>19.834398</v>
      </c>
      <c r="D15" s="2">
        <v>62.764901999999992</v>
      </c>
      <c r="E15">
        <v>0</v>
      </c>
    </row>
    <row r="16" spans="1:5" x14ac:dyDescent="0.2">
      <c r="A16" t="s">
        <v>65</v>
      </c>
      <c r="B16" s="2">
        <v>99.525000000000006</v>
      </c>
      <c r="C16" s="2">
        <v>13.059111</v>
      </c>
      <c r="D16" s="2">
        <v>78.961889000000014</v>
      </c>
      <c r="E16">
        <v>0</v>
      </c>
    </row>
    <row r="17" spans="1:5" x14ac:dyDescent="0.2">
      <c r="A17" t="s">
        <v>66</v>
      </c>
      <c r="B17" s="2">
        <v>134.66569999999999</v>
      </c>
      <c r="C17" s="2">
        <v>17.642066</v>
      </c>
      <c r="D17" s="2">
        <v>83.983633999999995</v>
      </c>
      <c r="E17">
        <v>0</v>
      </c>
    </row>
    <row r="18" spans="1:5" x14ac:dyDescent="0.2">
      <c r="A18" t="s">
        <v>67</v>
      </c>
      <c r="B18" s="2">
        <v>92.049899999999994</v>
      </c>
      <c r="C18" s="2">
        <v>27.065107000000001</v>
      </c>
      <c r="D18" s="2">
        <v>29.81079299999999</v>
      </c>
      <c r="E18">
        <v>0</v>
      </c>
    </row>
    <row r="19" spans="1:5" x14ac:dyDescent="0.2">
      <c r="A19" t="s">
        <v>68</v>
      </c>
      <c r="B19" s="2">
        <v>109.45543000000001</v>
      </c>
      <c r="C19" s="2">
        <v>10.51737</v>
      </c>
      <c r="D19" s="2">
        <v>93.167060000000006</v>
      </c>
      <c r="E19">
        <v>0</v>
      </c>
    </row>
    <row r="20" spans="1:5" x14ac:dyDescent="0.2">
      <c r="A20" t="s">
        <v>69</v>
      </c>
      <c r="B20" s="2">
        <v>98.450299999999999</v>
      </c>
      <c r="C20" s="2">
        <v>22.098963000000001</v>
      </c>
      <c r="D20" s="2">
        <v>71.376337000000007</v>
      </c>
      <c r="E20">
        <v>0</v>
      </c>
    </row>
    <row r="21" spans="1:5" x14ac:dyDescent="0.2">
      <c r="A21" t="s">
        <v>70</v>
      </c>
      <c r="B21" s="2">
        <v>115.15600000000001</v>
      </c>
      <c r="C21" s="2">
        <v>16.448664999999998</v>
      </c>
      <c r="D21" s="2">
        <v>62.262335000000007</v>
      </c>
      <c r="E21">
        <v>0</v>
      </c>
    </row>
    <row r="22" spans="1:5" x14ac:dyDescent="0.2">
      <c r="A22" t="s">
        <v>71</v>
      </c>
      <c r="B22" s="2">
        <v>128.38175000000001</v>
      </c>
      <c r="C22" s="2">
        <v>26.126847000000001</v>
      </c>
      <c r="D22" s="2">
        <v>75.929903000000024</v>
      </c>
      <c r="E22">
        <v>0</v>
      </c>
    </row>
    <row r="23" spans="1:5" x14ac:dyDescent="0.2">
      <c r="A23" t="s">
        <v>72</v>
      </c>
      <c r="B23" s="2">
        <v>106.81055000000001</v>
      </c>
      <c r="C23" s="2">
        <v>18.449833000000002</v>
      </c>
      <c r="D23" s="2">
        <v>56.315716999999999</v>
      </c>
      <c r="E23">
        <v>0</v>
      </c>
    </row>
    <row r="24" spans="1:5" x14ac:dyDescent="0.2">
      <c r="A24" t="s">
        <v>73</v>
      </c>
      <c r="B24" s="2">
        <v>104.03612699999999</v>
      </c>
      <c r="C24" s="2">
        <v>12.163</v>
      </c>
      <c r="D24" s="2">
        <v>78.296627000000001</v>
      </c>
      <c r="E24">
        <v>0</v>
      </c>
    </row>
    <row r="25" spans="1:5" x14ac:dyDescent="0.2">
      <c r="A25" t="s">
        <v>74</v>
      </c>
      <c r="B25" s="2">
        <v>105.0813</v>
      </c>
      <c r="C25" s="2">
        <v>5.5801910000000001</v>
      </c>
      <c r="D25" s="2">
        <v>86.629109</v>
      </c>
      <c r="E25">
        <v>0</v>
      </c>
    </row>
    <row r="26" spans="1:5" x14ac:dyDescent="0.2">
      <c r="A26" t="s">
        <v>75</v>
      </c>
      <c r="B26" s="2">
        <v>117.67675</v>
      </c>
      <c r="C26" s="2">
        <v>12.722942</v>
      </c>
      <c r="D26" s="2">
        <v>98.156807999999998</v>
      </c>
      <c r="E26">
        <v>0</v>
      </c>
    </row>
    <row r="27" spans="1:5" x14ac:dyDescent="0.2">
      <c r="A27" t="s">
        <v>76</v>
      </c>
      <c r="B27" s="2">
        <v>192.27856</v>
      </c>
      <c r="C27" s="2">
        <v>24.055344999999999</v>
      </c>
      <c r="D27" s="2">
        <v>150.113215</v>
      </c>
      <c r="E27">
        <v>0</v>
      </c>
    </row>
    <row r="28" spans="1:5" x14ac:dyDescent="0.2">
      <c r="A28" t="s">
        <v>77</v>
      </c>
      <c r="B28" s="2">
        <v>140.34665000000001</v>
      </c>
      <c r="C28" s="2">
        <v>28.946648</v>
      </c>
      <c r="D28" s="2">
        <v>69.950002000000012</v>
      </c>
      <c r="E28">
        <v>0</v>
      </c>
    </row>
    <row r="29" spans="1:5" x14ac:dyDescent="0.2">
      <c r="A29" t="s">
        <v>78</v>
      </c>
      <c r="B29" s="2">
        <v>119.362555</v>
      </c>
      <c r="C29" s="2">
        <v>21.121110999999999</v>
      </c>
      <c r="D29" s="2">
        <v>81.152444000000003</v>
      </c>
      <c r="E29">
        <v>0</v>
      </c>
    </row>
    <row r="30" spans="1:5" x14ac:dyDescent="0.2">
      <c r="A30" t="s">
        <v>79</v>
      </c>
      <c r="B30" s="2">
        <v>118.50799499999999</v>
      </c>
      <c r="C30" s="2">
        <v>9.1236960000000007</v>
      </c>
      <c r="D30" s="2">
        <v>102.166299</v>
      </c>
      <c r="E30">
        <v>0</v>
      </c>
    </row>
    <row r="31" spans="1:5" x14ac:dyDescent="0.2">
      <c r="A31" t="s">
        <v>80</v>
      </c>
      <c r="B31" s="2">
        <v>169.20758000000001</v>
      </c>
      <c r="C31" s="2">
        <v>10.337</v>
      </c>
      <c r="D31" s="2">
        <v>149.63658000000001</v>
      </c>
      <c r="E31">
        <v>0</v>
      </c>
    </row>
    <row r="32" spans="1:5" x14ac:dyDescent="0.2">
      <c r="A32" t="s">
        <v>81</v>
      </c>
      <c r="B32" s="2">
        <v>230.9631</v>
      </c>
      <c r="C32" s="2">
        <v>24.171413999999999</v>
      </c>
      <c r="D32" s="2">
        <v>104.34552600000001</v>
      </c>
      <c r="E32">
        <v>0</v>
      </c>
    </row>
    <row r="33" spans="1:5" x14ac:dyDescent="0.2">
      <c r="A33" t="s">
        <v>82</v>
      </c>
      <c r="B33" s="2">
        <v>111.030781</v>
      </c>
      <c r="C33" s="2">
        <v>50.918948999999998</v>
      </c>
      <c r="D33" s="2">
        <v>26.637832</v>
      </c>
      <c r="E33">
        <v>0</v>
      </c>
    </row>
    <row r="34" spans="1:5" x14ac:dyDescent="0.2">
      <c r="A34" t="s">
        <v>83</v>
      </c>
      <c r="B34" s="2">
        <v>114.43458</v>
      </c>
      <c r="C34" s="2">
        <v>17.744139000000001</v>
      </c>
      <c r="D34" s="2">
        <v>28.598441000000012</v>
      </c>
      <c r="E34">
        <v>0</v>
      </c>
    </row>
    <row r="35" spans="1:5" x14ac:dyDescent="0.2">
      <c r="A35" t="s">
        <v>84</v>
      </c>
      <c r="B35" s="2">
        <v>110.79984899999999</v>
      </c>
      <c r="C35" s="2">
        <v>10.662407</v>
      </c>
      <c r="D35" s="2">
        <v>89.683441999999985</v>
      </c>
      <c r="E35">
        <v>0</v>
      </c>
    </row>
    <row r="36" spans="1:5" x14ac:dyDescent="0.2">
      <c r="A36" t="s">
        <v>85</v>
      </c>
      <c r="B36" s="2">
        <v>111.01114</v>
      </c>
      <c r="C36" s="2">
        <v>24.688005</v>
      </c>
      <c r="D36" s="2">
        <v>74.049134999999993</v>
      </c>
      <c r="E36">
        <v>0</v>
      </c>
    </row>
    <row r="37" spans="1:5" x14ac:dyDescent="0.2">
      <c r="A37" t="s">
        <v>86</v>
      </c>
      <c r="B37" s="2">
        <v>87.884119999999996</v>
      </c>
      <c r="C37" s="2">
        <v>18.631072</v>
      </c>
      <c r="D37" s="2">
        <v>55.429047999999987</v>
      </c>
      <c r="E37">
        <v>0</v>
      </c>
    </row>
    <row r="38" spans="1:5" x14ac:dyDescent="0.2">
      <c r="A38" t="s">
        <v>87</v>
      </c>
      <c r="B38" s="2">
        <v>104.00178</v>
      </c>
      <c r="C38" s="2">
        <v>30.865220000000001</v>
      </c>
      <c r="D38" s="2">
        <v>69.518559999999994</v>
      </c>
      <c r="E38">
        <v>0</v>
      </c>
    </row>
    <row r="39" spans="1:5" x14ac:dyDescent="0.2">
      <c r="A39" t="s">
        <v>88</v>
      </c>
      <c r="B39" s="2">
        <v>102.478576</v>
      </c>
      <c r="C39" s="2">
        <v>19.476019000000001</v>
      </c>
      <c r="D39" s="2">
        <v>41.777557000000002</v>
      </c>
      <c r="E39">
        <v>0</v>
      </c>
    </row>
    <row r="40" spans="1:5" x14ac:dyDescent="0.2">
      <c r="A40" t="s">
        <v>89</v>
      </c>
      <c r="B40" s="2">
        <v>116.36199999999999</v>
      </c>
      <c r="C40" s="2">
        <v>32.896673000000007</v>
      </c>
      <c r="D40" s="2">
        <v>48.554327000000001</v>
      </c>
      <c r="E40">
        <v>0</v>
      </c>
    </row>
    <row r="41" spans="1:5" x14ac:dyDescent="0.2">
      <c r="A41" t="s">
        <v>90</v>
      </c>
      <c r="B41" s="2">
        <v>112.748751</v>
      </c>
      <c r="C41" s="2">
        <v>57.187741000000003</v>
      </c>
      <c r="D41" s="2">
        <v>35.984009999999998</v>
      </c>
      <c r="E41">
        <v>0</v>
      </c>
    </row>
    <row r="42" spans="1:5" x14ac:dyDescent="0.2">
      <c r="A42" t="s">
        <v>91</v>
      </c>
      <c r="B42" s="2">
        <v>105.85688</v>
      </c>
      <c r="C42" s="2">
        <v>62.493146999999993</v>
      </c>
      <c r="D42" s="2">
        <v>12.898733000000011</v>
      </c>
      <c r="E42">
        <v>0</v>
      </c>
    </row>
    <row r="43" spans="1:5" x14ac:dyDescent="0.2">
      <c r="A43" t="s">
        <v>92</v>
      </c>
      <c r="B43" s="2">
        <v>119.2183</v>
      </c>
      <c r="C43" s="2">
        <v>33.368713999999997</v>
      </c>
      <c r="D43" s="2">
        <v>75.527585999999999</v>
      </c>
      <c r="E43">
        <v>0</v>
      </c>
    </row>
    <row r="44" spans="1:5" x14ac:dyDescent="0.2">
      <c r="A44" t="s">
        <v>93</v>
      </c>
      <c r="B44" s="2">
        <v>150.30199999999999</v>
      </c>
      <c r="C44" s="2">
        <v>61.897703</v>
      </c>
      <c r="D44" s="2">
        <v>87.860297000000003</v>
      </c>
      <c r="E44">
        <v>0</v>
      </c>
    </row>
    <row r="45" spans="1:5" x14ac:dyDescent="0.2">
      <c r="A45" t="s">
        <v>94</v>
      </c>
      <c r="B45" s="2">
        <v>107.2238</v>
      </c>
      <c r="C45" s="2">
        <v>95.985530999999995</v>
      </c>
      <c r="D45" s="2">
        <v>6.6062689999999833</v>
      </c>
      <c r="E45">
        <v>0</v>
      </c>
    </row>
    <row r="46" spans="1:5" x14ac:dyDescent="0.2">
      <c r="A46" t="s">
        <v>95</v>
      </c>
      <c r="B46" s="2">
        <v>100.98175000000001</v>
      </c>
      <c r="C46" s="2">
        <v>31.452738</v>
      </c>
      <c r="D46" s="2">
        <v>63.050012000000009</v>
      </c>
      <c r="E46">
        <v>0</v>
      </c>
    </row>
    <row r="47" spans="1:5" x14ac:dyDescent="0.2">
      <c r="A47" t="s">
        <v>96</v>
      </c>
      <c r="B47" s="2">
        <v>89.150316000000004</v>
      </c>
      <c r="C47" s="2">
        <v>98.950648999999999</v>
      </c>
      <c r="D47" s="15">
        <v>-14.573332999999989</v>
      </c>
      <c r="E47">
        <v>0</v>
      </c>
    </row>
    <row r="48" spans="1:5" x14ac:dyDescent="0.2">
      <c r="A48" t="s">
        <v>97</v>
      </c>
      <c r="B48" s="2">
        <v>81.644750000000002</v>
      </c>
      <c r="C48" s="2">
        <v>50.09</v>
      </c>
      <c r="D48" s="2">
        <v>27.755749999999999</v>
      </c>
      <c r="E48">
        <v>0</v>
      </c>
    </row>
    <row r="49" spans="1:5" x14ac:dyDescent="0.2">
      <c r="A49" t="s">
        <v>98</v>
      </c>
      <c r="B49" s="2">
        <v>97.348690000000005</v>
      </c>
      <c r="C49" s="2">
        <v>66.95</v>
      </c>
      <c r="D49" s="2">
        <v>15.305690000000009</v>
      </c>
      <c r="E49">
        <v>0</v>
      </c>
    </row>
    <row r="50" spans="1:5" x14ac:dyDescent="0.2">
      <c r="A50" s="8" t="s">
        <v>99</v>
      </c>
      <c r="B50" s="16">
        <v>99.344945351932537</v>
      </c>
      <c r="C50" s="16">
        <v>18.21376325</v>
      </c>
      <c r="D50" s="16">
        <v>81.131182101932538</v>
      </c>
      <c r="E50" s="8">
        <v>1</v>
      </c>
    </row>
    <row r="51" spans="1:5" x14ac:dyDescent="0.2">
      <c r="A51" s="8" t="s">
        <v>100</v>
      </c>
      <c r="B51" s="16">
        <v>129.51381295682049</v>
      </c>
      <c r="C51" s="16">
        <v>20.527791812499999</v>
      </c>
      <c r="D51" s="16">
        <v>108.9860211443206</v>
      </c>
      <c r="E51" s="8">
        <v>1</v>
      </c>
    </row>
    <row r="52" spans="1:5" x14ac:dyDescent="0.2">
      <c r="A52" s="8" t="s">
        <v>101</v>
      </c>
      <c r="B52" s="16">
        <v>119.13901719254309</v>
      </c>
      <c r="C52" s="16">
        <v>26.728563062500001</v>
      </c>
      <c r="D52" s="16">
        <v>92.410454130043036</v>
      </c>
      <c r="E52" s="8">
        <v>1</v>
      </c>
    </row>
    <row r="53" spans="1:5" x14ac:dyDescent="0.2">
      <c r="A53" s="8" t="s">
        <v>102</v>
      </c>
      <c r="B53" s="16">
        <v>121.5157975242269</v>
      </c>
      <c r="C53" s="16">
        <v>30.392488937500001</v>
      </c>
      <c r="D53" s="16">
        <v>91.123308586726921</v>
      </c>
      <c r="E53" s="8">
        <v>1</v>
      </c>
    </row>
    <row r="54" spans="1:5" x14ac:dyDescent="0.2">
      <c r="A54" s="8" t="s">
        <v>103</v>
      </c>
      <c r="B54" s="16">
        <v>105.0713387814512</v>
      </c>
      <c r="C54" s="16">
        <v>31.929951249999991</v>
      </c>
      <c r="D54" s="16">
        <v>73.141387531451244</v>
      </c>
      <c r="E54" s="8">
        <v>1</v>
      </c>
    </row>
    <row r="55" spans="1:5" x14ac:dyDescent="0.2">
      <c r="A55" s="8" t="s">
        <v>104</v>
      </c>
      <c r="B55" s="16">
        <v>126.81331597376079</v>
      </c>
      <c r="C55" s="16">
        <v>17.541405399999999</v>
      </c>
      <c r="D55" s="16">
        <v>109.27191057376081</v>
      </c>
      <c r="E55" s="8">
        <v>1</v>
      </c>
    </row>
    <row r="56" spans="1:5" x14ac:dyDescent="0.2">
      <c r="A56" s="8" t="s">
        <v>105</v>
      </c>
      <c r="B56" s="16">
        <v>147.90387618640511</v>
      </c>
      <c r="C56" s="16">
        <v>34.064747999999987</v>
      </c>
      <c r="D56" s="16">
        <v>113.83912818640511</v>
      </c>
      <c r="E56" s="8">
        <v>1</v>
      </c>
    </row>
    <row r="57" spans="1:5" x14ac:dyDescent="0.2">
      <c r="A57" s="8" t="s">
        <v>106</v>
      </c>
      <c r="B57" s="16">
        <v>114.70804213594501</v>
      </c>
      <c r="C57" s="16">
        <v>51.360965062499993</v>
      </c>
      <c r="D57" s="16">
        <v>63.347077073445007</v>
      </c>
      <c r="E57" s="8">
        <v>1</v>
      </c>
    </row>
    <row r="58" spans="1:5" x14ac:dyDescent="0.2">
      <c r="A58" s="8" t="s">
        <v>107</v>
      </c>
      <c r="B58" s="16">
        <v>114.829409745928</v>
      </c>
      <c r="C58" s="16">
        <v>24.791103150000001</v>
      </c>
      <c r="D58" s="16">
        <v>90.03830659592802</v>
      </c>
      <c r="E58" s="8">
        <v>1</v>
      </c>
    </row>
    <row r="59" spans="1:5" x14ac:dyDescent="0.2">
      <c r="A59" s="8" t="s">
        <v>108</v>
      </c>
      <c r="B59" s="16">
        <v>104.46521729558479</v>
      </c>
      <c r="C59" s="16">
        <v>39.608843087499999</v>
      </c>
      <c r="D59" s="16">
        <v>64.856374208084844</v>
      </c>
      <c r="E59" s="8">
        <v>1</v>
      </c>
    </row>
    <row r="60" spans="1:5" x14ac:dyDescent="0.2">
      <c r="A60" s="8" t="s">
        <v>109</v>
      </c>
      <c r="B60" s="16">
        <v>108.343519208402</v>
      </c>
      <c r="C60" s="16">
        <v>30.123746300000001</v>
      </c>
      <c r="D60" s="16">
        <v>78.219772908402049</v>
      </c>
      <c r="E60" s="8">
        <v>1</v>
      </c>
    </row>
    <row r="61" spans="1:5" x14ac:dyDescent="0.2">
      <c r="A61" s="8" t="s">
        <v>110</v>
      </c>
      <c r="B61" s="16">
        <v>99.780185569050943</v>
      </c>
      <c r="C61" s="16">
        <v>29.710165762500001</v>
      </c>
      <c r="D61" s="16">
        <v>70.070019806550945</v>
      </c>
      <c r="E61" s="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2" width="17" customWidth="1"/>
    <col min="3" max="3" width="13" customWidth="1"/>
  </cols>
  <sheetData>
    <row r="1" spans="1:3" x14ac:dyDescent="0.2">
      <c r="A1" s="57" t="s">
        <v>112</v>
      </c>
      <c r="B1" s="54"/>
      <c r="C1" s="54"/>
    </row>
    <row r="3" spans="1:3" ht="16" x14ac:dyDescent="0.2">
      <c r="A3" s="1" t="s">
        <v>43</v>
      </c>
      <c r="B3" s="1" t="s">
        <v>113</v>
      </c>
      <c r="C3" s="1" t="s">
        <v>114</v>
      </c>
    </row>
    <row r="4" spans="1:3" x14ac:dyDescent="0.2">
      <c r="A4" s="10" t="s">
        <v>51</v>
      </c>
      <c r="B4" s="18">
        <v>75.227549999999994</v>
      </c>
      <c r="C4" s="18">
        <v>2131</v>
      </c>
    </row>
    <row r="5" spans="1:3" x14ac:dyDescent="0.2">
      <c r="A5" s="10" t="s">
        <v>52</v>
      </c>
      <c r="B5" s="18">
        <v>93.884200000000007</v>
      </c>
      <c r="C5" s="18">
        <v>3105</v>
      </c>
    </row>
    <row r="6" spans="1:3" x14ac:dyDescent="0.2">
      <c r="A6" s="10" t="s">
        <v>53</v>
      </c>
      <c r="B6" s="18">
        <v>98.499200000000002</v>
      </c>
      <c r="C6" s="18">
        <v>2976</v>
      </c>
    </row>
    <row r="7" spans="1:3" x14ac:dyDescent="0.2">
      <c r="A7" s="10" t="s">
        <v>54</v>
      </c>
      <c r="B7" s="18">
        <v>97.027600000000007</v>
      </c>
      <c r="C7" s="18">
        <v>2994</v>
      </c>
    </row>
    <row r="8" spans="1:3" x14ac:dyDescent="0.2">
      <c r="A8" s="10" t="s">
        <v>55</v>
      </c>
      <c r="B8" s="18">
        <v>84.624200000000002</v>
      </c>
      <c r="C8" s="18">
        <v>2726</v>
      </c>
    </row>
    <row r="9" spans="1:3" x14ac:dyDescent="0.2">
      <c r="A9" s="10" t="s">
        <v>56</v>
      </c>
      <c r="B9" s="18">
        <v>86.143000000000001</v>
      </c>
      <c r="C9" s="18">
        <v>2918</v>
      </c>
    </row>
    <row r="10" spans="1:3" x14ac:dyDescent="0.2">
      <c r="A10" s="10" t="s">
        <v>57</v>
      </c>
      <c r="B10" s="18">
        <v>84.807900000000004</v>
      </c>
      <c r="C10" s="18">
        <v>2868</v>
      </c>
    </row>
    <row r="11" spans="1:3" x14ac:dyDescent="0.2">
      <c r="A11" s="10" t="s">
        <v>58</v>
      </c>
      <c r="B11" s="18">
        <v>104.41001</v>
      </c>
      <c r="C11" s="18">
        <v>3706</v>
      </c>
    </row>
    <row r="12" spans="1:3" x14ac:dyDescent="0.2">
      <c r="A12" s="10" t="s">
        <v>59</v>
      </c>
      <c r="B12" s="18">
        <v>94.485749999999996</v>
      </c>
      <c r="C12" s="18">
        <v>3424</v>
      </c>
    </row>
    <row r="13" spans="1:3" x14ac:dyDescent="0.2">
      <c r="A13" s="10" t="s">
        <v>60</v>
      </c>
      <c r="B13" s="18">
        <v>91.964799999999997</v>
      </c>
      <c r="C13" s="18">
        <v>3332</v>
      </c>
    </row>
    <row r="14" spans="1:3" x14ac:dyDescent="0.2">
      <c r="A14" s="10" t="s">
        <v>61</v>
      </c>
      <c r="B14" s="18">
        <v>116.83629999999999</v>
      </c>
      <c r="C14" s="18">
        <v>3834</v>
      </c>
    </row>
    <row r="15" spans="1:3" x14ac:dyDescent="0.2">
      <c r="A15" s="10" t="s">
        <v>62</v>
      </c>
      <c r="B15" s="18">
        <v>90.529455999999996</v>
      </c>
      <c r="C15" s="18">
        <v>3370</v>
      </c>
    </row>
    <row r="16" spans="1:3" x14ac:dyDescent="0.2">
      <c r="A16" s="10" t="s">
        <v>63</v>
      </c>
      <c r="B16" s="18">
        <v>82.276250000000005</v>
      </c>
      <c r="C16" s="18">
        <v>2917</v>
      </c>
    </row>
    <row r="17" spans="1:3" x14ac:dyDescent="0.2">
      <c r="A17" s="10" t="s">
        <v>64</v>
      </c>
      <c r="B17" s="18">
        <v>105.69029999999999</v>
      </c>
      <c r="C17" s="18">
        <v>3615</v>
      </c>
    </row>
    <row r="18" spans="1:3" x14ac:dyDescent="0.2">
      <c r="A18" s="10" t="s">
        <v>65</v>
      </c>
      <c r="B18" s="18">
        <v>99.525000000000006</v>
      </c>
      <c r="C18" s="18">
        <v>3185</v>
      </c>
    </row>
    <row r="19" spans="1:3" x14ac:dyDescent="0.2">
      <c r="A19" s="10" t="s">
        <v>66</v>
      </c>
      <c r="B19" s="18">
        <v>134.66569999999999</v>
      </c>
      <c r="C19" s="18">
        <v>3461</v>
      </c>
    </row>
    <row r="20" spans="1:3" x14ac:dyDescent="0.2">
      <c r="A20" s="10" t="s">
        <v>67</v>
      </c>
      <c r="B20" s="18">
        <v>92.049899999999994</v>
      </c>
      <c r="C20" s="18">
        <v>3037</v>
      </c>
    </row>
    <row r="21" spans="1:3" x14ac:dyDescent="0.2">
      <c r="A21" s="10" t="s">
        <v>68</v>
      </c>
      <c r="B21" s="18">
        <v>109.45543000000001</v>
      </c>
      <c r="C21" s="18">
        <v>2969</v>
      </c>
    </row>
    <row r="22" spans="1:3" x14ac:dyDescent="0.2">
      <c r="A22" s="10" t="s">
        <v>69</v>
      </c>
      <c r="B22" s="18">
        <v>98.450299999999999</v>
      </c>
      <c r="C22" s="18">
        <v>3047</v>
      </c>
    </row>
    <row r="23" spans="1:3" x14ac:dyDescent="0.2">
      <c r="A23" s="10" t="s">
        <v>70</v>
      </c>
      <c r="B23" s="18">
        <v>115.15600000000001</v>
      </c>
      <c r="C23" s="18">
        <v>3714</v>
      </c>
    </row>
    <row r="24" spans="1:3" x14ac:dyDescent="0.2">
      <c r="A24" s="10" t="s">
        <v>71</v>
      </c>
      <c r="B24" s="18">
        <v>128.38175000000001</v>
      </c>
      <c r="C24" s="18">
        <v>3691</v>
      </c>
    </row>
    <row r="25" spans="1:3" x14ac:dyDescent="0.2">
      <c r="A25" s="10" t="s">
        <v>72</v>
      </c>
      <c r="B25" s="18">
        <v>106.81055000000001</v>
      </c>
      <c r="C25" s="18">
        <v>3651</v>
      </c>
    </row>
    <row r="26" spans="1:3" x14ac:dyDescent="0.2">
      <c r="A26" s="10" t="s">
        <v>73</v>
      </c>
      <c r="B26" s="18">
        <v>104.03612699999999</v>
      </c>
      <c r="C26" s="18">
        <v>3660</v>
      </c>
    </row>
    <row r="27" spans="1:3" x14ac:dyDescent="0.2">
      <c r="A27" s="10" t="s">
        <v>74</v>
      </c>
      <c r="B27" s="18">
        <v>105.0813</v>
      </c>
      <c r="C27" s="18">
        <v>3685</v>
      </c>
    </row>
    <row r="28" spans="1:3" x14ac:dyDescent="0.2">
      <c r="A28" s="10" t="s">
        <v>75</v>
      </c>
      <c r="B28" s="18">
        <v>117.67675</v>
      </c>
      <c r="C28" s="18">
        <v>4364</v>
      </c>
    </row>
    <row r="29" spans="1:3" x14ac:dyDescent="0.2">
      <c r="A29" s="10" t="s">
        <v>76</v>
      </c>
      <c r="B29" s="18">
        <v>192.27856</v>
      </c>
      <c r="C29" s="18">
        <v>3912</v>
      </c>
    </row>
    <row r="30" spans="1:3" x14ac:dyDescent="0.2">
      <c r="A30" s="10" t="s">
        <v>77</v>
      </c>
      <c r="B30" s="18">
        <v>140.34665000000001</v>
      </c>
      <c r="C30" s="18">
        <v>4367</v>
      </c>
    </row>
    <row r="31" spans="1:3" x14ac:dyDescent="0.2">
      <c r="A31" s="10" t="s">
        <v>78</v>
      </c>
      <c r="B31" s="18">
        <v>119.362555</v>
      </c>
      <c r="C31" s="18">
        <v>3946</v>
      </c>
    </row>
    <row r="32" spans="1:3" x14ac:dyDescent="0.2">
      <c r="A32" s="10" t="s">
        <v>79</v>
      </c>
      <c r="B32" s="18">
        <v>118.50799499999999</v>
      </c>
      <c r="C32" s="18">
        <v>3387</v>
      </c>
    </row>
    <row r="33" spans="1:3" x14ac:dyDescent="0.2">
      <c r="A33" s="10" t="s">
        <v>80</v>
      </c>
      <c r="B33" s="18">
        <v>169.20758000000001</v>
      </c>
      <c r="C33" s="18">
        <v>3497</v>
      </c>
    </row>
    <row r="34" spans="1:3" x14ac:dyDescent="0.2">
      <c r="A34" s="10" t="s">
        <v>81</v>
      </c>
      <c r="B34" s="18">
        <v>230.9631</v>
      </c>
      <c r="C34" s="18">
        <v>3232</v>
      </c>
    </row>
    <row r="35" spans="1:3" x14ac:dyDescent="0.2">
      <c r="A35" s="10" t="s">
        <v>82</v>
      </c>
      <c r="B35" s="18">
        <v>111.030781</v>
      </c>
      <c r="C35" s="18">
        <v>3728</v>
      </c>
    </row>
    <row r="36" spans="1:3" x14ac:dyDescent="0.2">
      <c r="A36" s="10" t="s">
        <v>83</v>
      </c>
      <c r="B36" s="18">
        <v>114.43458</v>
      </c>
      <c r="C36" s="18">
        <v>3143</v>
      </c>
    </row>
    <row r="37" spans="1:3" x14ac:dyDescent="0.2">
      <c r="A37" s="10" t="s">
        <v>84</v>
      </c>
      <c r="B37" s="18">
        <v>110.79984899999999</v>
      </c>
      <c r="C37" s="18">
        <v>3396</v>
      </c>
    </row>
    <row r="38" spans="1:3" x14ac:dyDescent="0.2">
      <c r="A38" s="10" t="s">
        <v>85</v>
      </c>
      <c r="B38" s="18">
        <v>111.01114</v>
      </c>
      <c r="C38" s="18">
        <v>3358</v>
      </c>
    </row>
    <row r="39" spans="1:3" x14ac:dyDescent="0.2">
      <c r="A39" s="10" t="s">
        <v>86</v>
      </c>
      <c r="B39" s="18">
        <v>87.884119999999996</v>
      </c>
      <c r="C39" s="18">
        <v>2370</v>
      </c>
    </row>
    <row r="40" spans="1:3" x14ac:dyDescent="0.2">
      <c r="A40" s="10" t="s">
        <v>87</v>
      </c>
      <c r="B40" s="18">
        <v>104.00178</v>
      </c>
      <c r="C40" s="18">
        <v>3010</v>
      </c>
    </row>
    <row r="41" spans="1:3" x14ac:dyDescent="0.2">
      <c r="A41" s="10" t="s">
        <v>88</v>
      </c>
      <c r="B41" s="18">
        <v>102.478576</v>
      </c>
      <c r="C41" s="18">
        <v>3525</v>
      </c>
    </row>
    <row r="42" spans="1:3" x14ac:dyDescent="0.2">
      <c r="A42" s="10" t="s">
        <v>89</v>
      </c>
      <c r="B42" s="18">
        <v>116.36199999999999</v>
      </c>
      <c r="C42" s="18">
        <v>6810</v>
      </c>
    </row>
    <row r="43" spans="1:3" x14ac:dyDescent="0.2">
      <c r="A43" s="10" t="s">
        <v>90</v>
      </c>
      <c r="B43" s="18">
        <v>112.748751</v>
      </c>
      <c r="C43" s="18">
        <v>3256</v>
      </c>
    </row>
    <row r="44" spans="1:3" x14ac:dyDescent="0.2">
      <c r="A44" s="10" t="s">
        <v>91</v>
      </c>
      <c r="B44" s="18">
        <v>105.85688</v>
      </c>
      <c r="C44" s="18">
        <v>5455</v>
      </c>
    </row>
    <row r="45" spans="1:3" x14ac:dyDescent="0.2">
      <c r="A45" s="10" t="s">
        <v>92</v>
      </c>
      <c r="B45" s="18">
        <v>119.2183</v>
      </c>
      <c r="C45" s="18">
        <v>4134</v>
      </c>
    </row>
    <row r="46" spans="1:3" x14ac:dyDescent="0.2">
      <c r="A46" s="10" t="s">
        <v>93</v>
      </c>
      <c r="B46" s="18">
        <v>150.30199999999999</v>
      </c>
      <c r="C46" s="18">
        <v>4068</v>
      </c>
    </row>
    <row r="47" spans="1:3" x14ac:dyDescent="0.2">
      <c r="A47" s="10" t="s">
        <v>94</v>
      </c>
      <c r="B47" s="18">
        <v>107.2238</v>
      </c>
      <c r="C47" s="18">
        <v>3574</v>
      </c>
    </row>
    <row r="48" spans="1:3" x14ac:dyDescent="0.2">
      <c r="A48" s="10" t="s">
        <v>95</v>
      </c>
      <c r="B48" s="18">
        <v>100.98175000000001</v>
      </c>
      <c r="C48" s="18">
        <v>3465</v>
      </c>
    </row>
    <row r="49" spans="1:3" x14ac:dyDescent="0.2">
      <c r="A49" s="10" t="s">
        <v>96</v>
      </c>
      <c r="B49" s="18">
        <v>89.150316000000004</v>
      </c>
      <c r="C49" s="18">
        <v>3070</v>
      </c>
    </row>
    <row r="50" spans="1:3" x14ac:dyDescent="0.2">
      <c r="A50" s="10" t="s">
        <v>97</v>
      </c>
      <c r="B50" s="18">
        <v>81.644750000000002</v>
      </c>
      <c r="C50" s="18">
        <v>2561</v>
      </c>
    </row>
    <row r="51" spans="1:3" x14ac:dyDescent="0.2">
      <c r="A51" s="10" t="s">
        <v>98</v>
      </c>
      <c r="B51" s="18">
        <v>97.348690000000005</v>
      </c>
      <c r="C51" s="18">
        <v>4489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"/>
  <sheetViews>
    <sheetView rightToLeft="1" workbookViewId="0"/>
  </sheetViews>
  <sheetFormatPr baseColWidth="10" defaultColWidth="8.83203125" defaultRowHeight="15" x14ac:dyDescent="0.2"/>
  <cols>
    <col min="1" max="1" width="10" customWidth="1"/>
    <col min="2" max="2" width="11" customWidth="1"/>
    <col min="3" max="3" width="14" customWidth="1"/>
    <col min="4" max="7" width="10" customWidth="1"/>
    <col min="8" max="8" width="23" customWidth="1"/>
    <col min="9" max="9" width="20" customWidth="1"/>
  </cols>
  <sheetData>
    <row r="1" spans="1:9" ht="16" x14ac:dyDescent="0.2">
      <c r="A1" s="1" t="s">
        <v>43</v>
      </c>
      <c r="B1" s="1" t="s">
        <v>30</v>
      </c>
      <c r="C1" s="1" t="s">
        <v>115</v>
      </c>
      <c r="D1" s="1" t="s">
        <v>34</v>
      </c>
      <c r="E1" s="1" t="s">
        <v>32</v>
      </c>
      <c r="F1" s="1" t="s">
        <v>35</v>
      </c>
      <c r="G1" s="1" t="s">
        <v>37</v>
      </c>
      <c r="H1" s="1" t="s">
        <v>116</v>
      </c>
      <c r="I1" s="1" t="s">
        <v>117</v>
      </c>
    </row>
    <row r="2" spans="1:9" x14ac:dyDescent="0.2">
      <c r="A2" s="10" t="s">
        <v>51</v>
      </c>
      <c r="B2" s="11">
        <v>12.240399999999999</v>
      </c>
      <c r="C2" s="11">
        <v>20.239999999999998</v>
      </c>
      <c r="D2" s="11">
        <v>0.54500000000000004</v>
      </c>
      <c r="E2" s="11">
        <v>0.63500000000000001</v>
      </c>
      <c r="F2" s="11">
        <v>0.45013999999999998</v>
      </c>
      <c r="G2" s="11">
        <v>0.03</v>
      </c>
      <c r="H2" s="11">
        <v>46.771099999999997</v>
      </c>
      <c r="I2" s="11">
        <v>80.911639999999991</v>
      </c>
    </row>
    <row r="3" spans="1:9" x14ac:dyDescent="0.2">
      <c r="A3" s="10" t="s">
        <v>52</v>
      </c>
      <c r="B3" s="11">
        <v>5.4932530000000002</v>
      </c>
      <c r="C3" s="11">
        <v>16.998000000000001</v>
      </c>
      <c r="D3" s="11">
        <v>1.512</v>
      </c>
      <c r="E3" s="11">
        <v>0.9</v>
      </c>
      <c r="F3" s="11">
        <v>0.13</v>
      </c>
      <c r="G3" s="11">
        <v>0</v>
      </c>
      <c r="H3" s="11">
        <v>68.042280000000005</v>
      </c>
      <c r="I3" s="11">
        <v>93.075533000000007</v>
      </c>
    </row>
    <row r="4" spans="1:9" x14ac:dyDescent="0.2">
      <c r="A4" s="10" t="s">
        <v>53</v>
      </c>
      <c r="B4" s="11">
        <v>8.4114620000000002</v>
      </c>
      <c r="C4" s="11">
        <v>16.548999999999999</v>
      </c>
      <c r="D4" s="11">
        <v>8.0980000000000008</v>
      </c>
      <c r="E4" s="11">
        <v>0.78400000000000003</v>
      </c>
      <c r="F4" s="11">
        <v>0.77302099999999996</v>
      </c>
      <c r="G4" s="11">
        <v>0</v>
      </c>
      <c r="H4" s="11">
        <v>64.040199999999999</v>
      </c>
      <c r="I4" s="11">
        <v>98.655682999999996</v>
      </c>
    </row>
    <row r="5" spans="1:9" x14ac:dyDescent="0.2">
      <c r="A5" s="10" t="s">
        <v>54</v>
      </c>
      <c r="B5" s="11">
        <v>7.3730869999999999</v>
      </c>
      <c r="C5" s="11">
        <v>20.380607999999999</v>
      </c>
      <c r="D5" s="11">
        <v>1.056</v>
      </c>
      <c r="E5" s="11">
        <v>1</v>
      </c>
      <c r="F5" s="11">
        <v>0.308</v>
      </c>
      <c r="G5" s="11">
        <v>2.5000000000000001E-2</v>
      </c>
      <c r="H5" s="11">
        <v>76.159859999999995</v>
      </c>
      <c r="I5" s="11">
        <v>106.302555</v>
      </c>
    </row>
    <row r="6" spans="1:9" x14ac:dyDescent="0.2">
      <c r="A6" s="10" t="s">
        <v>55</v>
      </c>
      <c r="B6" s="11">
        <v>8.7277500000000003</v>
      </c>
      <c r="C6" s="11">
        <v>6.9259500000000003</v>
      </c>
      <c r="D6" s="11">
        <v>2.4510000000000001</v>
      </c>
      <c r="E6" s="11">
        <v>1.2</v>
      </c>
      <c r="F6" s="11">
        <v>0</v>
      </c>
      <c r="G6" s="11">
        <v>0</v>
      </c>
      <c r="H6" s="11">
        <v>53.345874000000002</v>
      </c>
      <c r="I6" s="11">
        <v>72.650574000000006</v>
      </c>
    </row>
    <row r="7" spans="1:9" x14ac:dyDescent="0.2">
      <c r="A7" s="10" t="s">
        <v>56</v>
      </c>
      <c r="B7" s="11">
        <v>4.3564999999999996</v>
      </c>
      <c r="C7" s="11">
        <v>15.744999999999999</v>
      </c>
      <c r="D7" s="11">
        <v>0.83399999999999996</v>
      </c>
      <c r="E7" s="11">
        <v>0.85</v>
      </c>
      <c r="F7" s="11">
        <v>0.75</v>
      </c>
      <c r="G7" s="11">
        <v>0</v>
      </c>
      <c r="H7" s="11">
        <v>48.708629999999999</v>
      </c>
      <c r="I7" s="11">
        <v>71.244129999999998</v>
      </c>
    </row>
    <row r="8" spans="1:9" x14ac:dyDescent="0.2">
      <c r="A8" s="10" t="s">
        <v>57</v>
      </c>
      <c r="B8" s="11">
        <v>6.39</v>
      </c>
      <c r="C8" s="11">
        <v>18.507000000000001</v>
      </c>
      <c r="D8" s="11">
        <v>2.492</v>
      </c>
      <c r="E8" s="11">
        <v>1.4359999999999999</v>
      </c>
      <c r="F8" s="11">
        <v>0</v>
      </c>
      <c r="G8" s="11">
        <v>0</v>
      </c>
      <c r="H8" s="11">
        <v>57.153419999999997</v>
      </c>
      <c r="I8" s="11">
        <v>85.97842</v>
      </c>
    </row>
    <row r="9" spans="1:9" x14ac:dyDescent="0.2">
      <c r="A9" s="10" t="s">
        <v>58</v>
      </c>
      <c r="B9" s="11">
        <v>6.4139350000000004</v>
      </c>
      <c r="C9" s="11">
        <v>19.158999999999999</v>
      </c>
      <c r="D9" s="11">
        <v>7.3769999999999998</v>
      </c>
      <c r="E9" s="11">
        <v>1.2150000000000001</v>
      </c>
      <c r="F9" s="11">
        <v>0.28775499999999998</v>
      </c>
      <c r="G9" s="11">
        <v>0</v>
      </c>
      <c r="H9" s="11">
        <v>45.814435000000003</v>
      </c>
      <c r="I9" s="11">
        <v>80.267125000000007</v>
      </c>
    </row>
    <row r="10" spans="1:9" x14ac:dyDescent="0.2">
      <c r="A10" s="10" t="s">
        <v>59</v>
      </c>
      <c r="B10" s="11">
        <v>6.2771999999999997</v>
      </c>
      <c r="C10" s="11">
        <v>29.629000000000001</v>
      </c>
      <c r="D10" s="11">
        <v>2.6269999999999998</v>
      </c>
      <c r="E10" s="11">
        <v>1.1319999999999999</v>
      </c>
      <c r="F10" s="11">
        <v>0.87</v>
      </c>
      <c r="G10" s="11">
        <v>0</v>
      </c>
      <c r="H10" s="11">
        <v>106.00611000000001</v>
      </c>
      <c r="I10" s="11">
        <v>146.54131000000001</v>
      </c>
    </row>
    <row r="11" spans="1:9" x14ac:dyDescent="0.2">
      <c r="A11" s="10" t="s">
        <v>60</v>
      </c>
      <c r="B11" s="11">
        <v>4.83</v>
      </c>
      <c r="C11" s="11">
        <v>21.183</v>
      </c>
      <c r="D11" s="11">
        <v>2.7189999999999999</v>
      </c>
      <c r="E11" s="11">
        <v>1.91</v>
      </c>
      <c r="F11" s="11">
        <v>0.248</v>
      </c>
      <c r="G11" s="11">
        <v>0</v>
      </c>
      <c r="H11" s="11">
        <v>54.297499999999999</v>
      </c>
      <c r="I11" s="11">
        <v>85.1875</v>
      </c>
    </row>
    <row r="12" spans="1:9" x14ac:dyDescent="0.2">
      <c r="A12" s="10" t="s">
        <v>61</v>
      </c>
      <c r="B12" s="11">
        <v>10.429243</v>
      </c>
      <c r="C12" s="11">
        <v>11.574999999999999</v>
      </c>
      <c r="D12" s="11">
        <v>1.581</v>
      </c>
      <c r="E12" s="11">
        <v>1.7350000000000001</v>
      </c>
      <c r="F12" s="11">
        <v>4.0919999999999996</v>
      </c>
      <c r="G12" s="11">
        <v>0</v>
      </c>
      <c r="H12" s="11">
        <v>57.58034</v>
      </c>
      <c r="I12" s="11">
        <v>86.992582999999996</v>
      </c>
    </row>
    <row r="13" spans="1:9" x14ac:dyDescent="0.2">
      <c r="A13" s="10" t="s">
        <v>62</v>
      </c>
      <c r="B13" s="11">
        <v>8.4404439999999994</v>
      </c>
      <c r="C13" s="11">
        <v>16.253</v>
      </c>
      <c r="D13" s="11">
        <v>1.8879999999999999</v>
      </c>
      <c r="E13" s="11">
        <v>1.71</v>
      </c>
      <c r="F13" s="11">
        <v>0.14000000000000001</v>
      </c>
      <c r="G13" s="11">
        <v>0</v>
      </c>
      <c r="H13" s="11">
        <v>57.272719000000002</v>
      </c>
      <c r="I13" s="11">
        <v>85.704162999999994</v>
      </c>
    </row>
    <row r="14" spans="1:9" x14ac:dyDescent="0.2">
      <c r="A14" s="10" t="s">
        <v>63</v>
      </c>
      <c r="B14" s="11">
        <v>4.2435179999999999</v>
      </c>
      <c r="C14" s="11">
        <v>0.06</v>
      </c>
      <c r="D14" s="11">
        <v>0.45500000000000002</v>
      </c>
      <c r="E14" s="11">
        <v>1.165</v>
      </c>
      <c r="F14" s="11">
        <v>0</v>
      </c>
      <c r="G14" s="11">
        <v>0</v>
      </c>
      <c r="H14" s="11">
        <v>49.539760000000001</v>
      </c>
      <c r="I14" s="11">
        <v>55.463278000000003</v>
      </c>
    </row>
    <row r="15" spans="1:9" x14ac:dyDescent="0.2">
      <c r="A15" s="10" t="s">
        <v>64</v>
      </c>
      <c r="B15" s="11">
        <v>10.188397999999999</v>
      </c>
      <c r="C15" s="11">
        <v>23.091000000000001</v>
      </c>
      <c r="D15" s="11">
        <v>5.609</v>
      </c>
      <c r="E15" s="11">
        <v>2.0350000000000001</v>
      </c>
      <c r="F15" s="11">
        <v>2.0019999999999998</v>
      </c>
      <c r="G15" s="11">
        <v>0</v>
      </c>
      <c r="H15" s="11">
        <v>67.541679999999999</v>
      </c>
      <c r="I15" s="11">
        <v>110.467078</v>
      </c>
    </row>
    <row r="16" spans="1:9" x14ac:dyDescent="0.2">
      <c r="A16" s="10" t="s">
        <v>65</v>
      </c>
      <c r="B16" s="11">
        <v>1.3411109999999999</v>
      </c>
      <c r="C16" s="11">
        <v>7.5039999999999996</v>
      </c>
      <c r="D16" s="11">
        <v>2.0739999999999998</v>
      </c>
      <c r="E16" s="11">
        <v>0.24299999999999999</v>
      </c>
      <c r="F16" s="11">
        <v>9.4009999999999998</v>
      </c>
      <c r="G16" s="11">
        <v>0</v>
      </c>
      <c r="H16" s="11">
        <v>53.146079999999998</v>
      </c>
      <c r="I16" s="11">
        <v>73.70919099999999</v>
      </c>
    </row>
    <row r="17" spans="1:9" x14ac:dyDescent="0.2">
      <c r="A17" s="10" t="s">
        <v>66</v>
      </c>
      <c r="B17" s="11">
        <v>12.889066</v>
      </c>
      <c r="C17" s="11">
        <v>33.04</v>
      </c>
      <c r="D17" s="11">
        <v>2.0739999999999998</v>
      </c>
      <c r="E17" s="11">
        <v>1.32</v>
      </c>
      <c r="F17" s="11">
        <v>1.359</v>
      </c>
      <c r="G17" s="11">
        <v>0</v>
      </c>
      <c r="H17" s="11">
        <v>42.164079999999998</v>
      </c>
      <c r="I17" s="11">
        <v>92.846146000000005</v>
      </c>
    </row>
    <row r="18" spans="1:9" x14ac:dyDescent="0.2">
      <c r="A18" s="10" t="s">
        <v>67</v>
      </c>
      <c r="B18" s="11">
        <v>7.2311069999999997</v>
      </c>
      <c r="C18" s="11">
        <v>35.173999999999999</v>
      </c>
      <c r="D18" s="11">
        <v>0.85</v>
      </c>
      <c r="E18" s="11">
        <v>1.2</v>
      </c>
      <c r="F18" s="11">
        <v>17.684000000000001</v>
      </c>
      <c r="G18" s="11">
        <v>0.1</v>
      </c>
      <c r="H18" s="11">
        <v>40.785040000000002</v>
      </c>
      <c r="I18" s="11">
        <v>103.024147</v>
      </c>
    </row>
    <row r="19" spans="1:9" x14ac:dyDescent="0.2">
      <c r="A19" s="10" t="s">
        <v>68</v>
      </c>
      <c r="B19" s="11">
        <v>2.8223699999999998</v>
      </c>
      <c r="C19" s="11">
        <v>5.7709999999999999</v>
      </c>
      <c r="D19" s="11">
        <v>4.4950000000000001</v>
      </c>
      <c r="E19" s="11">
        <v>1.1499999999999999</v>
      </c>
      <c r="F19" s="11">
        <v>2.0499999999999998</v>
      </c>
      <c r="G19" s="11">
        <v>0</v>
      </c>
      <c r="H19" s="11">
        <v>90.929599999999994</v>
      </c>
      <c r="I19" s="11">
        <v>107.21796999999999</v>
      </c>
    </row>
    <row r="20" spans="1:9" x14ac:dyDescent="0.2">
      <c r="A20" s="10" t="s">
        <v>69</v>
      </c>
      <c r="B20" s="11">
        <v>7.3829630000000002</v>
      </c>
      <c r="C20" s="11">
        <v>4.9749999999999996</v>
      </c>
      <c r="D20" s="11">
        <v>13.343999999999999</v>
      </c>
      <c r="E20" s="11">
        <v>0.63</v>
      </c>
      <c r="F20" s="11">
        <v>0.74199999999999999</v>
      </c>
      <c r="G20" s="11">
        <v>0</v>
      </c>
      <c r="H20" s="11">
        <v>53.843760000000003</v>
      </c>
      <c r="I20" s="11">
        <v>80.917722999999995</v>
      </c>
    </row>
    <row r="21" spans="1:9" x14ac:dyDescent="0.2">
      <c r="A21" s="10" t="s">
        <v>70</v>
      </c>
      <c r="B21" s="11">
        <v>9.8506649999999993</v>
      </c>
      <c r="C21" s="11">
        <v>36.445</v>
      </c>
      <c r="D21" s="11">
        <v>2.2250000000000001</v>
      </c>
      <c r="E21" s="11">
        <v>1.5249999999999999</v>
      </c>
      <c r="F21" s="11">
        <v>2.8479999999999999</v>
      </c>
      <c r="G21" s="11">
        <v>0</v>
      </c>
      <c r="H21" s="11">
        <v>7.0896800000000004</v>
      </c>
      <c r="I21" s="11">
        <v>59.983345</v>
      </c>
    </row>
    <row r="22" spans="1:9" x14ac:dyDescent="0.2">
      <c r="A22" s="10" t="s">
        <v>71</v>
      </c>
      <c r="B22" s="11">
        <v>0.121847</v>
      </c>
      <c r="C22" s="11">
        <v>26.324999999999999</v>
      </c>
      <c r="D22" s="11">
        <v>19.649999999999999</v>
      </c>
      <c r="E22" s="11">
        <v>2.4750000000000001</v>
      </c>
      <c r="F22" s="11">
        <v>3.88</v>
      </c>
      <c r="G22" s="11">
        <v>0</v>
      </c>
      <c r="H22" s="11">
        <v>71.416319999999999</v>
      </c>
      <c r="I22" s="11">
        <v>123.868167</v>
      </c>
    </row>
    <row r="23" spans="1:9" x14ac:dyDescent="0.2">
      <c r="A23" s="10" t="s">
        <v>72</v>
      </c>
      <c r="B23" s="11">
        <v>2.5133329999999998</v>
      </c>
      <c r="C23" s="11">
        <v>32.045000000000002</v>
      </c>
      <c r="D23" s="11">
        <v>4.407</v>
      </c>
      <c r="E23" s="11">
        <v>5.0179999999999998</v>
      </c>
      <c r="F23" s="11">
        <v>6.4115000000000002</v>
      </c>
      <c r="G23" s="11">
        <v>0.1</v>
      </c>
      <c r="H23" s="11">
        <v>63.713279999999997</v>
      </c>
      <c r="I23" s="11">
        <v>114.208113</v>
      </c>
    </row>
    <row r="24" spans="1:9" x14ac:dyDescent="0.2">
      <c r="A24" s="10" t="s">
        <v>73</v>
      </c>
      <c r="B24" s="11">
        <v>5.5449999999999999</v>
      </c>
      <c r="C24" s="11">
        <v>13.576499999999999</v>
      </c>
      <c r="D24" s="11">
        <v>1.5349999999999999</v>
      </c>
      <c r="E24" s="11">
        <v>2.92</v>
      </c>
      <c r="F24" s="11">
        <v>2.1629999999999998</v>
      </c>
      <c r="G24" s="11">
        <v>0</v>
      </c>
      <c r="H24" s="11">
        <v>33.243839999999999</v>
      </c>
      <c r="I24" s="11">
        <v>58.983339999999998</v>
      </c>
    </row>
    <row r="25" spans="1:9" x14ac:dyDescent="0.2">
      <c r="A25" s="10" t="s">
        <v>74</v>
      </c>
      <c r="B25" s="11">
        <v>2.8191000000000001E-2</v>
      </c>
      <c r="C25" s="11">
        <v>12.872</v>
      </c>
      <c r="D25" s="11">
        <v>3.4849999999999999</v>
      </c>
      <c r="E25" s="11">
        <v>1.7</v>
      </c>
      <c r="F25" s="11">
        <v>0.36699999999999999</v>
      </c>
      <c r="G25" s="11">
        <v>0</v>
      </c>
      <c r="H25" s="11">
        <v>72.568240000000003</v>
      </c>
      <c r="I25" s="11">
        <v>91.020431000000002</v>
      </c>
    </row>
    <row r="26" spans="1:9" x14ac:dyDescent="0.2">
      <c r="A26" s="10" t="s">
        <v>75</v>
      </c>
      <c r="B26" s="11">
        <v>7.510942</v>
      </c>
      <c r="C26" s="11">
        <v>6.7969999999999997</v>
      </c>
      <c r="D26" s="11">
        <v>2.2120000000000002</v>
      </c>
      <c r="E26" s="11">
        <v>2.9</v>
      </c>
      <c r="F26" s="11">
        <v>0</v>
      </c>
      <c r="G26" s="11">
        <v>0.1</v>
      </c>
      <c r="H26" s="11">
        <v>92.040847999999997</v>
      </c>
      <c r="I26" s="11">
        <v>111.56079</v>
      </c>
    </row>
    <row r="27" spans="1:9" x14ac:dyDescent="0.2">
      <c r="A27" s="10" t="s">
        <v>76</v>
      </c>
      <c r="B27" s="11">
        <v>6.3876650000000001</v>
      </c>
      <c r="C27" s="11">
        <v>18.11</v>
      </c>
      <c r="D27" s="11">
        <v>5.8479999999999999</v>
      </c>
      <c r="E27" s="11">
        <v>4.55</v>
      </c>
      <c r="F27" s="11">
        <v>7.2696800000000001</v>
      </c>
      <c r="G27" s="11">
        <v>0</v>
      </c>
      <c r="H27" s="11">
        <v>53.968879999999999</v>
      </c>
      <c r="I27" s="11">
        <v>96.134224999999986</v>
      </c>
    </row>
    <row r="28" spans="1:9" x14ac:dyDescent="0.2">
      <c r="A28" s="10" t="s">
        <v>77</v>
      </c>
      <c r="B28" s="11">
        <v>3.5091480000000002</v>
      </c>
      <c r="C28" s="11">
        <v>41.45</v>
      </c>
      <c r="D28" s="11">
        <v>14.967000000000001</v>
      </c>
      <c r="E28" s="11">
        <v>2.82</v>
      </c>
      <c r="F28" s="11">
        <v>7.6505000000000001</v>
      </c>
      <c r="G28" s="11">
        <v>0</v>
      </c>
      <c r="H28" s="11">
        <v>40.696640000000002</v>
      </c>
      <c r="I28" s="11">
        <v>111.093288</v>
      </c>
    </row>
    <row r="29" spans="1:9" x14ac:dyDescent="0.2">
      <c r="A29" s="10" t="s">
        <v>78</v>
      </c>
      <c r="B29" s="11">
        <v>3.7711109999999999</v>
      </c>
      <c r="C29" s="11">
        <v>17.088999999999999</v>
      </c>
      <c r="D29" s="11">
        <v>3.4550000000000001</v>
      </c>
      <c r="E29" s="11">
        <v>5.25</v>
      </c>
      <c r="F29" s="11">
        <v>8.4649999999999999</v>
      </c>
      <c r="G29" s="11">
        <v>0.18</v>
      </c>
      <c r="H29" s="11">
        <v>87.915840000000003</v>
      </c>
      <c r="I29" s="11">
        <v>126.125951</v>
      </c>
    </row>
    <row r="30" spans="1:9" x14ac:dyDescent="0.2">
      <c r="A30" s="10" t="s">
        <v>79</v>
      </c>
      <c r="B30" s="11">
        <v>2.8136960000000002</v>
      </c>
      <c r="C30" s="11">
        <v>7.218</v>
      </c>
      <c r="D30" s="11">
        <v>1.5349999999999999</v>
      </c>
      <c r="E30" s="11">
        <v>2.6749999999999998</v>
      </c>
      <c r="F30" s="11">
        <v>2.1</v>
      </c>
      <c r="G30" s="11">
        <v>0</v>
      </c>
      <c r="H30" s="11">
        <v>0</v>
      </c>
      <c r="I30" s="11">
        <v>16.341695999999999</v>
      </c>
    </row>
    <row r="31" spans="1:9" x14ac:dyDescent="0.2">
      <c r="A31" s="10" t="s">
        <v>80</v>
      </c>
      <c r="B31" s="11">
        <v>0.37</v>
      </c>
      <c r="C31" s="11">
        <v>9.234</v>
      </c>
      <c r="D31" s="11">
        <v>4.5419999999999998</v>
      </c>
      <c r="E31" s="11">
        <v>3.9</v>
      </c>
      <c r="F31" s="11">
        <v>1.5249999999999999</v>
      </c>
      <c r="G31" s="11">
        <v>0</v>
      </c>
      <c r="H31" s="11">
        <v>96.173760000000001</v>
      </c>
      <c r="I31" s="11">
        <v>115.74476</v>
      </c>
    </row>
    <row r="32" spans="1:9" x14ac:dyDescent="0.2">
      <c r="A32" s="10" t="s">
        <v>81</v>
      </c>
      <c r="B32" s="11">
        <v>10.931414</v>
      </c>
      <c r="C32" s="11">
        <v>102.44616000000001</v>
      </c>
      <c r="D32" s="11">
        <v>5.7489999999999997</v>
      </c>
      <c r="E32" s="11">
        <v>1.65</v>
      </c>
      <c r="F32" s="11">
        <v>5.806</v>
      </c>
      <c r="G32" s="11">
        <v>3.5000000000000003E-2</v>
      </c>
      <c r="H32" s="11">
        <v>47.179760000000002</v>
      </c>
      <c r="I32" s="11">
        <v>173.79733400000001</v>
      </c>
    </row>
    <row r="33" spans="1:9" x14ac:dyDescent="0.2">
      <c r="A33" s="10" t="s">
        <v>82</v>
      </c>
      <c r="B33" s="11">
        <v>30.754949</v>
      </c>
      <c r="C33" s="11">
        <v>33.473999999999997</v>
      </c>
      <c r="D33" s="11">
        <v>10.943</v>
      </c>
      <c r="E33" s="11">
        <v>4.1500000000000004</v>
      </c>
      <c r="F33" s="11">
        <v>5.0709999999999997</v>
      </c>
      <c r="G33" s="11">
        <v>0</v>
      </c>
      <c r="H33" s="11">
        <v>71.90728</v>
      </c>
      <c r="I33" s="11">
        <v>156.300229</v>
      </c>
    </row>
    <row r="34" spans="1:9" x14ac:dyDescent="0.2">
      <c r="A34" s="10" t="s">
        <v>83</v>
      </c>
      <c r="B34" s="11">
        <v>3.1861389999999998</v>
      </c>
      <c r="C34" s="11">
        <v>68.091999999999999</v>
      </c>
      <c r="D34" s="11">
        <v>4.1509999999999998</v>
      </c>
      <c r="E34" s="11">
        <v>3.63</v>
      </c>
      <c r="F34" s="11">
        <v>6.702</v>
      </c>
      <c r="G34" s="11">
        <v>7.4999999999999997E-2</v>
      </c>
      <c r="H34" s="11">
        <v>144.52757199999999</v>
      </c>
      <c r="I34" s="11">
        <v>230.363711</v>
      </c>
    </row>
    <row r="35" spans="1:9" x14ac:dyDescent="0.2">
      <c r="A35" s="10" t="s">
        <v>84</v>
      </c>
      <c r="B35" s="11">
        <v>5.6124070000000001</v>
      </c>
      <c r="C35" s="11">
        <v>10.454000000000001</v>
      </c>
      <c r="D35" s="11">
        <v>2.5</v>
      </c>
      <c r="E35" s="11">
        <v>1.55</v>
      </c>
      <c r="F35" s="11">
        <v>1</v>
      </c>
      <c r="G35" s="11">
        <v>0</v>
      </c>
      <c r="H35" s="11">
        <v>0</v>
      </c>
      <c r="I35" s="11">
        <v>21.116406999999999</v>
      </c>
    </row>
    <row r="36" spans="1:9" x14ac:dyDescent="0.2">
      <c r="A36" s="10" t="s">
        <v>85</v>
      </c>
      <c r="B36" s="11">
        <v>12.422005</v>
      </c>
      <c r="C36" s="11">
        <v>12.273999999999999</v>
      </c>
      <c r="D36" s="11">
        <v>4.8259999999999996</v>
      </c>
      <c r="E36" s="11">
        <v>4.7</v>
      </c>
      <c r="F36" s="11">
        <v>2.67</v>
      </c>
      <c r="G36" s="11">
        <v>7.0000000000000007E-2</v>
      </c>
      <c r="H36" s="11">
        <v>68.989050000000006</v>
      </c>
      <c r="I36" s="11">
        <v>105.951055</v>
      </c>
    </row>
    <row r="37" spans="1:9" x14ac:dyDescent="0.2">
      <c r="A37" s="10" t="s">
        <v>86</v>
      </c>
      <c r="B37" s="11">
        <v>8.2530719999999995</v>
      </c>
      <c r="C37" s="11">
        <v>13.824</v>
      </c>
      <c r="D37" s="11">
        <v>6.319</v>
      </c>
      <c r="E37" s="11">
        <v>1.85</v>
      </c>
      <c r="F37" s="11">
        <v>2.2090000000000001</v>
      </c>
      <c r="G37" s="11">
        <v>0</v>
      </c>
      <c r="H37" s="11">
        <v>0</v>
      </c>
      <c r="I37" s="11">
        <v>32.455072000000001</v>
      </c>
    </row>
    <row r="38" spans="1:9" x14ac:dyDescent="0.2">
      <c r="A38" s="10" t="s">
        <v>87</v>
      </c>
      <c r="B38" s="11">
        <v>19.703220000000002</v>
      </c>
      <c r="C38" s="11">
        <v>3.6179999999999999</v>
      </c>
      <c r="D38" s="11">
        <v>4.9530000000000003</v>
      </c>
      <c r="E38" s="11">
        <v>3.6</v>
      </c>
      <c r="F38" s="11">
        <v>2.5489999999999999</v>
      </c>
      <c r="G38" s="11">
        <v>0.06</v>
      </c>
      <c r="H38" s="11">
        <v>0</v>
      </c>
      <c r="I38" s="11">
        <v>34.483220000000003</v>
      </c>
    </row>
    <row r="39" spans="1:9" x14ac:dyDescent="0.2">
      <c r="A39" s="10" t="s">
        <v>88</v>
      </c>
      <c r="B39" s="11">
        <v>5.5310189999999997</v>
      </c>
      <c r="C39" s="11">
        <v>41.225000000000001</v>
      </c>
      <c r="D39" s="11">
        <v>2.65</v>
      </c>
      <c r="E39" s="11">
        <v>2.1949999999999998</v>
      </c>
      <c r="F39" s="11">
        <v>9.1</v>
      </c>
      <c r="G39" s="11">
        <v>0</v>
      </c>
      <c r="H39" s="11">
        <v>121.6215</v>
      </c>
      <c r="I39" s="11">
        <v>182.322519</v>
      </c>
    </row>
    <row r="40" spans="1:9" x14ac:dyDescent="0.2">
      <c r="A40" s="10" t="s">
        <v>89</v>
      </c>
      <c r="B40" s="11">
        <v>4.6446730000000001</v>
      </c>
      <c r="C40" s="11">
        <v>34.911000000000001</v>
      </c>
      <c r="D40" s="11">
        <v>13.579000000000001</v>
      </c>
      <c r="E40" s="11">
        <v>5.65</v>
      </c>
      <c r="F40" s="11">
        <v>9.0229999999999997</v>
      </c>
      <c r="G40" s="11">
        <v>0</v>
      </c>
      <c r="H40" s="11">
        <v>0</v>
      </c>
      <c r="I40" s="11">
        <v>67.807672999999994</v>
      </c>
    </row>
    <row r="41" spans="1:9" x14ac:dyDescent="0.2">
      <c r="A41" s="10" t="s">
        <v>90</v>
      </c>
      <c r="B41" s="11">
        <v>47.487741</v>
      </c>
      <c r="C41" s="11">
        <v>19.577000000000002</v>
      </c>
      <c r="D41" s="11">
        <v>1.69</v>
      </c>
      <c r="E41" s="11">
        <v>2.7</v>
      </c>
      <c r="F41" s="11">
        <v>5.31</v>
      </c>
      <c r="G41" s="11">
        <v>0</v>
      </c>
      <c r="H41" s="11">
        <v>0</v>
      </c>
      <c r="I41" s="11">
        <v>76.764741000000001</v>
      </c>
    </row>
    <row r="42" spans="1:9" x14ac:dyDescent="0.2">
      <c r="A42" s="10" t="s">
        <v>91</v>
      </c>
      <c r="B42" s="11">
        <v>48.619146999999998</v>
      </c>
      <c r="C42" s="11">
        <v>30.465</v>
      </c>
      <c r="D42" s="11">
        <v>2.4249999999999998</v>
      </c>
      <c r="E42" s="11">
        <v>2.8</v>
      </c>
      <c r="F42" s="11">
        <v>8.6489999999999991</v>
      </c>
      <c r="G42" s="11">
        <v>0</v>
      </c>
      <c r="H42" s="11">
        <v>87.181650000000005</v>
      </c>
      <c r="I42" s="11">
        <v>180.13979699999999</v>
      </c>
    </row>
    <row r="43" spans="1:9" x14ac:dyDescent="0.2">
      <c r="A43" s="10" t="s">
        <v>92</v>
      </c>
      <c r="B43" s="11">
        <v>19.386714000000001</v>
      </c>
      <c r="C43" s="11">
        <v>10.321999999999999</v>
      </c>
      <c r="D43" s="11">
        <v>5.5069999999999997</v>
      </c>
      <c r="E43" s="11">
        <v>3.5</v>
      </c>
      <c r="F43" s="11">
        <v>4.9749999999999996</v>
      </c>
      <c r="G43" s="11">
        <v>0</v>
      </c>
      <c r="H43" s="11">
        <v>0</v>
      </c>
      <c r="I43" s="11">
        <v>43.690714</v>
      </c>
    </row>
    <row r="44" spans="1:9" x14ac:dyDescent="0.2">
      <c r="A44" s="10" t="s">
        <v>93</v>
      </c>
      <c r="B44" s="11">
        <v>54.954703000000002</v>
      </c>
      <c r="C44" s="11">
        <v>0.54400000000000004</v>
      </c>
      <c r="D44" s="11">
        <v>2.5</v>
      </c>
      <c r="E44" s="11">
        <v>3.3</v>
      </c>
      <c r="F44" s="11">
        <v>1.143</v>
      </c>
      <c r="G44" s="11">
        <v>0</v>
      </c>
      <c r="H44" s="11">
        <v>66.397049999999993</v>
      </c>
      <c r="I44" s="11">
        <v>128.838753</v>
      </c>
    </row>
    <row r="45" spans="1:9" x14ac:dyDescent="0.2">
      <c r="A45" s="10" t="s">
        <v>94</v>
      </c>
      <c r="B45" s="11">
        <v>72.212530999999998</v>
      </c>
      <c r="C45" s="11">
        <v>4.6319999999999997</v>
      </c>
      <c r="D45" s="11">
        <v>6.81</v>
      </c>
      <c r="E45" s="11">
        <v>3.45</v>
      </c>
      <c r="F45" s="11">
        <v>13.439</v>
      </c>
      <c r="G45" s="11">
        <v>7.3999999999999996E-2</v>
      </c>
      <c r="H45" s="11">
        <v>0</v>
      </c>
      <c r="I45" s="11">
        <v>100.617531</v>
      </c>
    </row>
    <row r="46" spans="1:9" x14ac:dyDescent="0.2">
      <c r="A46" s="10" t="s">
        <v>95</v>
      </c>
      <c r="B46" s="11">
        <v>11.007738</v>
      </c>
      <c r="C46" s="11">
        <v>6.4790000000000001</v>
      </c>
      <c r="D46" s="11">
        <v>7.4</v>
      </c>
      <c r="E46" s="11">
        <v>4</v>
      </c>
      <c r="F46" s="11">
        <v>9.0449999999999999</v>
      </c>
      <c r="G46" s="11">
        <v>0</v>
      </c>
      <c r="H46" s="11">
        <v>0</v>
      </c>
      <c r="I46" s="11">
        <v>37.931738000000003</v>
      </c>
    </row>
    <row r="47" spans="1:9" x14ac:dyDescent="0.2">
      <c r="A47" s="10" t="s">
        <v>96</v>
      </c>
      <c r="B47" s="11">
        <v>90.000648999999996</v>
      </c>
      <c r="C47" s="11">
        <v>4.7729999999999997</v>
      </c>
      <c r="D47" s="11">
        <v>4.4000000000000004</v>
      </c>
      <c r="E47" s="11">
        <v>3.55</v>
      </c>
      <c r="F47" s="11">
        <v>1</v>
      </c>
      <c r="G47" s="11">
        <v>0</v>
      </c>
      <c r="H47" s="11">
        <v>116.06425</v>
      </c>
      <c r="I47" s="11">
        <v>219.78789900000001</v>
      </c>
    </row>
    <row r="48" spans="1:9" x14ac:dyDescent="0.2">
      <c r="A48" s="10" t="s">
        <v>97</v>
      </c>
      <c r="B48" s="11">
        <v>40.045000000000002</v>
      </c>
      <c r="C48" s="11">
        <v>3.7989999999999999</v>
      </c>
      <c r="D48" s="11">
        <v>4.2229999999999999</v>
      </c>
      <c r="E48" s="11">
        <v>5.0999999999999996</v>
      </c>
      <c r="F48" s="11">
        <v>0.72199999999999998</v>
      </c>
      <c r="G48" s="11">
        <v>0</v>
      </c>
      <c r="H48" s="11">
        <v>0</v>
      </c>
      <c r="I48" s="11">
        <v>53.889000000000003</v>
      </c>
    </row>
    <row r="49" spans="1:9" x14ac:dyDescent="0.2">
      <c r="A49" s="10" t="s">
        <v>98</v>
      </c>
      <c r="B49" s="11">
        <v>63.524999999999999</v>
      </c>
      <c r="C49" s="11">
        <v>15.093</v>
      </c>
      <c r="D49" s="11">
        <v>1.127</v>
      </c>
      <c r="E49" s="11">
        <v>0</v>
      </c>
      <c r="F49" s="11">
        <v>2.298</v>
      </c>
      <c r="G49" s="11">
        <v>0</v>
      </c>
      <c r="H49" s="11">
        <v>0</v>
      </c>
      <c r="I49" s="11">
        <v>82.042999999999992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"/>
  <sheetViews>
    <sheetView rightToLeft="1"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4" width="12" customWidth="1"/>
    <col min="5" max="5" width="18" customWidth="1"/>
    <col min="6" max="6" width="16" customWidth="1"/>
    <col min="7" max="8" width="20" customWidth="1"/>
    <col min="9" max="9" width="19" customWidth="1"/>
    <col min="10" max="10" width="18" customWidth="1"/>
    <col min="11" max="11" width="20" customWidth="1"/>
    <col min="12" max="12" width="16" customWidth="1"/>
    <col min="13" max="15" width="20" customWidth="1"/>
  </cols>
  <sheetData>
    <row r="1" spans="1:15" ht="16" x14ac:dyDescent="0.2">
      <c r="A1" s="1" t="s">
        <v>43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</row>
    <row r="2" spans="1:15" ht="16" x14ac:dyDescent="0.2">
      <c r="A2" s="1" t="s">
        <v>132</v>
      </c>
      <c r="B2" s="1">
        <v>5</v>
      </c>
      <c r="C2" s="1">
        <v>3</v>
      </c>
      <c r="D2" s="1">
        <v>0</v>
      </c>
      <c r="E2" s="1">
        <v>15</v>
      </c>
      <c r="F2" s="1">
        <v>3</v>
      </c>
      <c r="G2" s="1">
        <v>3</v>
      </c>
      <c r="H2" s="1">
        <v>2</v>
      </c>
      <c r="I2" s="1">
        <v>3</v>
      </c>
      <c r="J2" s="1">
        <v>4</v>
      </c>
      <c r="K2" s="1">
        <v>5</v>
      </c>
      <c r="L2" s="1">
        <v>40</v>
      </c>
      <c r="M2" s="1">
        <v>15</v>
      </c>
      <c r="N2" s="1">
        <v>5</v>
      </c>
      <c r="O2" s="1">
        <v>7</v>
      </c>
    </row>
    <row r="3" spans="1:15" x14ac:dyDescent="0.2">
      <c r="A3" t="s">
        <v>51</v>
      </c>
      <c r="B3" s="10"/>
      <c r="C3" s="12">
        <v>6.6639999999999997</v>
      </c>
      <c r="D3" s="11">
        <v>0.45</v>
      </c>
      <c r="E3" s="11">
        <v>3.7229999999999999</v>
      </c>
      <c r="F3" s="10"/>
      <c r="G3" s="10"/>
      <c r="H3" s="10"/>
      <c r="I3" s="10"/>
      <c r="J3" s="10"/>
      <c r="K3" s="11">
        <v>1.24E-2</v>
      </c>
      <c r="L3" s="10"/>
      <c r="M3" s="10"/>
      <c r="N3" s="10"/>
      <c r="O3" s="10"/>
    </row>
    <row r="4" spans="1:15" x14ac:dyDescent="0.2">
      <c r="A4" t="s">
        <v>52</v>
      </c>
      <c r="B4" s="10"/>
      <c r="C4" s="11">
        <v>1.55</v>
      </c>
      <c r="D4" s="11">
        <v>0.5</v>
      </c>
      <c r="E4" s="11">
        <v>3.165</v>
      </c>
      <c r="F4" s="11">
        <v>3.7030000000000001E-3</v>
      </c>
      <c r="G4" s="11">
        <v>0.26600000000000001</v>
      </c>
      <c r="H4" s="10"/>
      <c r="I4" s="10"/>
      <c r="J4" s="10"/>
      <c r="K4" s="11">
        <v>8.5500000000000003E-3</v>
      </c>
      <c r="L4" s="10"/>
      <c r="M4" s="10"/>
      <c r="N4" s="10"/>
      <c r="O4" s="10"/>
    </row>
    <row r="5" spans="1:15" x14ac:dyDescent="0.2">
      <c r="A5" t="s">
        <v>53</v>
      </c>
      <c r="B5" s="10"/>
      <c r="C5" s="12">
        <v>3.698</v>
      </c>
      <c r="D5" s="11">
        <v>0.35</v>
      </c>
      <c r="E5" s="11">
        <v>1.345</v>
      </c>
      <c r="F5" s="10"/>
      <c r="G5" s="10"/>
      <c r="H5" s="10"/>
      <c r="I5" s="10"/>
      <c r="J5" s="10"/>
      <c r="K5" s="11">
        <v>1.6712000000000001E-2</v>
      </c>
      <c r="L5" s="10"/>
      <c r="M5" s="10"/>
      <c r="N5" s="10"/>
      <c r="O5" s="10"/>
    </row>
    <row r="6" spans="1:15" x14ac:dyDescent="0.2">
      <c r="A6" t="s">
        <v>54</v>
      </c>
      <c r="B6" s="10"/>
      <c r="C6" s="12">
        <v>3.5</v>
      </c>
      <c r="D6" s="10"/>
      <c r="E6" s="11">
        <v>3.2080000000000002</v>
      </c>
      <c r="F6" s="10"/>
      <c r="G6" s="10"/>
      <c r="H6" s="10"/>
      <c r="I6" s="10"/>
      <c r="J6" s="10"/>
      <c r="K6" s="11">
        <v>1.4579999999999999E-2</v>
      </c>
      <c r="L6" s="10"/>
      <c r="M6" s="10"/>
      <c r="N6" s="10"/>
      <c r="O6" s="10"/>
    </row>
    <row r="7" spans="1:15" x14ac:dyDescent="0.2">
      <c r="A7" t="s">
        <v>55</v>
      </c>
      <c r="B7" s="10"/>
      <c r="C7" s="12">
        <v>5.5449999999999999</v>
      </c>
      <c r="D7" s="11">
        <v>0.57499999999999996</v>
      </c>
      <c r="E7" s="11">
        <v>2.4997500000000001</v>
      </c>
      <c r="F7" s="10"/>
      <c r="G7" s="10"/>
      <c r="H7" s="10"/>
      <c r="I7" s="10"/>
      <c r="J7" s="10"/>
      <c r="K7" s="11">
        <v>5.0000000000000001E-3</v>
      </c>
      <c r="L7" s="10"/>
      <c r="M7" s="10"/>
      <c r="N7" s="10"/>
      <c r="O7" s="10"/>
    </row>
    <row r="8" spans="1:15" x14ac:dyDescent="0.2">
      <c r="A8" t="s">
        <v>56</v>
      </c>
      <c r="B8" s="10"/>
      <c r="C8" s="11">
        <v>1.54</v>
      </c>
      <c r="D8" s="10"/>
      <c r="E8" s="11">
        <v>2.75</v>
      </c>
      <c r="F8" s="10"/>
      <c r="G8" s="10"/>
      <c r="H8" s="10"/>
      <c r="I8" s="10"/>
      <c r="J8" s="10"/>
      <c r="K8" s="11">
        <v>1.6500000000000001E-2</v>
      </c>
      <c r="L8" s="10"/>
      <c r="M8" s="10"/>
      <c r="N8" s="10"/>
      <c r="O8" s="10"/>
    </row>
    <row r="9" spans="1:15" x14ac:dyDescent="0.2">
      <c r="A9" t="s">
        <v>57</v>
      </c>
      <c r="B9" s="10"/>
      <c r="C9" s="11">
        <v>1</v>
      </c>
      <c r="D9" s="11">
        <v>0.95</v>
      </c>
      <c r="E9" s="11">
        <v>3.3980000000000001</v>
      </c>
      <c r="F9" s="10"/>
      <c r="G9" s="11">
        <v>1.03</v>
      </c>
      <c r="H9" s="10"/>
      <c r="I9" s="10"/>
      <c r="J9" s="10"/>
      <c r="K9" s="11">
        <v>1.2E-2</v>
      </c>
      <c r="L9" s="10"/>
      <c r="M9" s="10"/>
      <c r="N9" s="10"/>
      <c r="O9" s="10"/>
    </row>
    <row r="10" spans="1:15" x14ac:dyDescent="0.2">
      <c r="A10" t="s">
        <v>58</v>
      </c>
      <c r="B10" s="10"/>
      <c r="C10" s="11">
        <v>2.7450000000000001</v>
      </c>
      <c r="D10" s="11">
        <v>0.51800000000000002</v>
      </c>
      <c r="E10" s="11">
        <v>2.91</v>
      </c>
      <c r="F10" s="10"/>
      <c r="G10" s="10"/>
      <c r="H10" s="10"/>
      <c r="I10" s="10"/>
      <c r="J10" s="10"/>
      <c r="K10" s="11">
        <v>7.0000000000000001E-3</v>
      </c>
      <c r="L10" s="10"/>
      <c r="M10" s="10"/>
      <c r="N10" s="10"/>
      <c r="O10" s="10"/>
    </row>
    <row r="11" spans="1:15" x14ac:dyDescent="0.2">
      <c r="A11" t="s">
        <v>59</v>
      </c>
      <c r="B11" s="10"/>
      <c r="C11" s="11">
        <v>1.7150000000000001</v>
      </c>
      <c r="D11" s="10"/>
      <c r="E11" s="11">
        <v>1.214</v>
      </c>
      <c r="F11" s="10"/>
      <c r="G11" s="10"/>
      <c r="H11" s="12">
        <v>3.161</v>
      </c>
      <c r="I11" s="10"/>
      <c r="J11" s="10"/>
      <c r="K11" s="11">
        <v>1.72E-2</v>
      </c>
      <c r="L11" s="10"/>
      <c r="M11" s="10"/>
      <c r="N11" s="10"/>
      <c r="O11" s="10"/>
    </row>
    <row r="12" spans="1:15" x14ac:dyDescent="0.2">
      <c r="A12" t="s">
        <v>60</v>
      </c>
      <c r="B12" s="11">
        <v>0.01</v>
      </c>
      <c r="C12" s="11">
        <v>2.5</v>
      </c>
      <c r="D12" s="11">
        <v>0.7</v>
      </c>
      <c r="E12" s="11">
        <v>0.745</v>
      </c>
      <c r="F12" s="11">
        <v>5.0000000000000001E-3</v>
      </c>
      <c r="G12" s="11">
        <v>0.86</v>
      </c>
      <c r="H12" s="10"/>
      <c r="I12" s="10"/>
      <c r="J12" s="10"/>
      <c r="K12" s="11">
        <v>0.01</v>
      </c>
      <c r="L12" s="10"/>
      <c r="M12" s="10"/>
      <c r="N12" s="10"/>
      <c r="O12" s="10"/>
    </row>
    <row r="13" spans="1:15" x14ac:dyDescent="0.2">
      <c r="A13" t="s">
        <v>61</v>
      </c>
      <c r="B13" s="10"/>
      <c r="C13" s="12">
        <v>3.54</v>
      </c>
      <c r="D13" s="11">
        <v>0.35</v>
      </c>
      <c r="E13" s="11">
        <v>6.27</v>
      </c>
      <c r="F13" s="10"/>
      <c r="G13" s="10"/>
      <c r="H13" s="10"/>
      <c r="I13" s="10"/>
      <c r="J13" s="10"/>
      <c r="K13" s="11">
        <v>1.7243000000000001E-2</v>
      </c>
      <c r="L13" s="10"/>
      <c r="M13" s="10"/>
      <c r="N13" s="10"/>
      <c r="O13" s="10"/>
    </row>
    <row r="14" spans="1:15" x14ac:dyDescent="0.2">
      <c r="A14" t="s">
        <v>62</v>
      </c>
      <c r="B14" s="10"/>
      <c r="C14" s="12">
        <v>4.13</v>
      </c>
      <c r="D14" s="10"/>
      <c r="E14" s="11">
        <v>4.2500660000000003</v>
      </c>
      <c r="F14" s="10"/>
      <c r="G14" s="10"/>
      <c r="H14" s="10"/>
      <c r="I14" s="11">
        <v>1.6999999999999999E-3</v>
      </c>
      <c r="J14" s="10"/>
      <c r="K14" s="11">
        <v>1.1867000000000001E-2</v>
      </c>
      <c r="L14" s="10"/>
      <c r="M14" s="10"/>
      <c r="N14" s="10"/>
      <c r="O14" s="10"/>
    </row>
    <row r="15" spans="1:15" x14ac:dyDescent="0.2">
      <c r="A15" t="s">
        <v>63</v>
      </c>
      <c r="B15" s="11">
        <v>1.3518000000000001E-2</v>
      </c>
      <c r="C15" s="11">
        <v>0.66500000000000004</v>
      </c>
      <c r="D15" s="11">
        <v>1.1299999999999999</v>
      </c>
      <c r="E15" s="11">
        <v>2.4350000000000001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">
      <c r="A16" t="s">
        <v>64</v>
      </c>
      <c r="B16" s="10"/>
      <c r="C16" s="12">
        <v>4.68</v>
      </c>
      <c r="D16" s="10"/>
      <c r="E16" s="11">
        <v>5.4</v>
      </c>
      <c r="F16" s="10"/>
      <c r="G16" s="10"/>
      <c r="H16" s="10"/>
      <c r="I16" s="10"/>
      <c r="J16" s="10"/>
      <c r="K16" s="11">
        <v>1.3308E-2</v>
      </c>
      <c r="L16" s="10"/>
      <c r="M16" s="10"/>
      <c r="N16" s="10"/>
      <c r="O16" s="10"/>
    </row>
    <row r="17" spans="1:15" x14ac:dyDescent="0.2">
      <c r="A17" t="s">
        <v>65</v>
      </c>
      <c r="B17" s="10"/>
      <c r="C17" s="11">
        <v>1</v>
      </c>
      <c r="D17" s="10"/>
      <c r="E17" s="11">
        <v>0.33</v>
      </c>
      <c r="F17" s="10"/>
      <c r="G17" s="10"/>
      <c r="H17" s="10"/>
      <c r="I17" s="10"/>
      <c r="J17" s="10"/>
      <c r="K17" s="11">
        <v>1.1110999999999999E-2</v>
      </c>
      <c r="L17" s="10"/>
      <c r="M17" s="10"/>
      <c r="N17" s="10"/>
      <c r="O17" s="10"/>
    </row>
    <row r="18" spans="1:15" x14ac:dyDescent="0.2">
      <c r="A18" t="s">
        <v>66</v>
      </c>
      <c r="B18" s="11">
        <v>4.0660000000000002E-3</v>
      </c>
      <c r="C18" s="11">
        <v>2.5</v>
      </c>
      <c r="D18" s="11">
        <v>0.4</v>
      </c>
      <c r="E18" s="11">
        <v>5.9</v>
      </c>
      <c r="F18" s="10"/>
      <c r="G18" s="11">
        <v>1.175</v>
      </c>
      <c r="H18" s="10"/>
      <c r="I18" s="10"/>
      <c r="J18" s="10"/>
      <c r="K18" s="11">
        <v>0.01</v>
      </c>
      <c r="L18" s="10"/>
      <c r="M18" s="10"/>
      <c r="N18" s="10"/>
      <c r="O18" s="10"/>
    </row>
    <row r="19" spans="1:15" x14ac:dyDescent="0.2">
      <c r="A19" t="s">
        <v>67</v>
      </c>
      <c r="B19" s="11">
        <v>6.2960000000000004E-3</v>
      </c>
      <c r="C19" s="12">
        <v>3.55</v>
      </c>
      <c r="D19" s="10"/>
      <c r="E19" s="11">
        <v>0.08</v>
      </c>
      <c r="F19" s="10"/>
      <c r="G19" s="10"/>
      <c r="H19" s="10"/>
      <c r="I19" s="10"/>
      <c r="J19" s="10"/>
      <c r="K19" s="11">
        <v>1.4811E-2</v>
      </c>
      <c r="L19" s="10"/>
      <c r="M19" s="10"/>
      <c r="N19" s="10"/>
      <c r="O19" s="10"/>
    </row>
    <row r="20" spans="1:15" x14ac:dyDescent="0.2">
      <c r="A20" t="s">
        <v>68</v>
      </c>
      <c r="B20" s="10"/>
      <c r="C20" s="11">
        <v>0.3</v>
      </c>
      <c r="D20" s="10"/>
      <c r="E20" s="10"/>
      <c r="F20" s="10"/>
      <c r="G20" s="10"/>
      <c r="H20" s="10"/>
      <c r="I20" s="10"/>
      <c r="J20" s="10"/>
      <c r="K20" s="11">
        <v>2.2221999999999999E-2</v>
      </c>
      <c r="L20" s="11">
        <v>1.4799999999999999E-4</v>
      </c>
      <c r="M20" s="10"/>
      <c r="N20" s="10"/>
      <c r="O20" s="10"/>
    </row>
    <row r="21" spans="1:15" x14ac:dyDescent="0.2">
      <c r="A21" t="s">
        <v>69</v>
      </c>
      <c r="B21" s="10"/>
      <c r="C21" s="12">
        <v>6.4</v>
      </c>
      <c r="D21" s="10"/>
      <c r="E21" s="10"/>
      <c r="F21" s="11">
        <v>4.4450000000000002E-3</v>
      </c>
      <c r="G21" s="11">
        <v>0.96</v>
      </c>
      <c r="H21" s="10"/>
      <c r="I21" s="10"/>
      <c r="J21" s="10"/>
      <c r="K21" s="11">
        <v>1.4815E-2</v>
      </c>
      <c r="L21" s="11">
        <v>3.7030000000000001E-3</v>
      </c>
      <c r="M21" s="10"/>
      <c r="N21" s="10"/>
      <c r="O21" s="10"/>
    </row>
    <row r="22" spans="1:15" x14ac:dyDescent="0.2">
      <c r="A22" t="s">
        <v>70</v>
      </c>
      <c r="B22" s="11">
        <v>4.444E-3</v>
      </c>
      <c r="C22" s="12">
        <v>4.4320000000000004</v>
      </c>
      <c r="D22" s="10"/>
      <c r="E22" s="10"/>
      <c r="F22" s="10"/>
      <c r="G22" s="11">
        <v>2.9</v>
      </c>
      <c r="H22" s="10"/>
      <c r="I22" s="10"/>
      <c r="J22" s="10"/>
      <c r="K22" s="11">
        <v>1.4814000000000001E-2</v>
      </c>
      <c r="L22" s="11">
        <v>7.4070000000000004E-3</v>
      </c>
      <c r="M22" s="10"/>
      <c r="N22" s="10"/>
      <c r="O22" s="10"/>
    </row>
    <row r="23" spans="1:15" x14ac:dyDescent="0.2">
      <c r="A23" t="s">
        <v>71</v>
      </c>
      <c r="B23" s="11">
        <v>4.444E-3</v>
      </c>
      <c r="C23" s="11">
        <v>0.1</v>
      </c>
      <c r="D23" s="10"/>
      <c r="E23" s="10"/>
      <c r="F23" s="11">
        <v>3.7000000000000002E-3</v>
      </c>
      <c r="G23" s="10"/>
      <c r="H23" s="10"/>
      <c r="I23" s="10"/>
      <c r="J23" s="10"/>
      <c r="K23" s="11">
        <v>0.01</v>
      </c>
      <c r="L23" s="11">
        <v>3.7030000000000001E-3</v>
      </c>
      <c r="M23" s="10"/>
      <c r="N23" s="10"/>
      <c r="O23" s="10"/>
    </row>
    <row r="24" spans="1:15" x14ac:dyDescent="0.2">
      <c r="A24" t="s">
        <v>72</v>
      </c>
      <c r="B24" s="11">
        <v>3.0000000000000001E-3</v>
      </c>
      <c r="C24" s="11">
        <v>2.5</v>
      </c>
      <c r="D24" s="10"/>
      <c r="E24" s="10"/>
      <c r="F24" s="10"/>
      <c r="G24" s="10"/>
      <c r="H24" s="10"/>
      <c r="I24" s="10"/>
      <c r="J24" s="10"/>
      <c r="K24" s="11">
        <v>0.01</v>
      </c>
      <c r="L24" s="11">
        <v>3.3300000000000002E-4</v>
      </c>
      <c r="M24" s="10"/>
      <c r="N24" s="10"/>
      <c r="O24" s="10"/>
    </row>
    <row r="25" spans="1:15" x14ac:dyDescent="0.2">
      <c r="A25" t="s">
        <v>73</v>
      </c>
      <c r="B25" s="10"/>
      <c r="C25" s="11">
        <v>2</v>
      </c>
      <c r="D25" s="11">
        <v>0.23499999999999999</v>
      </c>
      <c r="E25" s="11">
        <v>1.28</v>
      </c>
      <c r="F25" s="10"/>
      <c r="G25" s="10"/>
      <c r="H25" s="11">
        <v>2</v>
      </c>
      <c r="I25" s="10"/>
      <c r="J25" s="10"/>
      <c r="K25" s="11">
        <v>0.01</v>
      </c>
      <c r="L25" s="11">
        <v>0.02</v>
      </c>
      <c r="M25" s="10"/>
      <c r="N25" s="10"/>
      <c r="O25" s="10"/>
    </row>
    <row r="26" spans="1:15" x14ac:dyDescent="0.2">
      <c r="A26" t="s">
        <v>74</v>
      </c>
      <c r="B26" s="10"/>
      <c r="C26" s="10"/>
      <c r="D26" s="10"/>
      <c r="E26" s="10"/>
      <c r="F26" s="10"/>
      <c r="G26" s="10"/>
      <c r="H26" s="10"/>
      <c r="I26" s="10"/>
      <c r="J26" s="10"/>
      <c r="K26" s="11">
        <v>1.3377E-2</v>
      </c>
      <c r="L26" s="11">
        <v>1.4814000000000001E-2</v>
      </c>
      <c r="M26" s="10"/>
      <c r="N26" s="10"/>
      <c r="O26" s="10"/>
    </row>
    <row r="27" spans="1:15" x14ac:dyDescent="0.2">
      <c r="A27" t="s">
        <v>75</v>
      </c>
      <c r="B27" s="10"/>
      <c r="C27" s="11">
        <v>2.4380000000000002</v>
      </c>
      <c r="D27" s="10"/>
      <c r="E27" s="11">
        <v>5</v>
      </c>
      <c r="F27" s="10"/>
      <c r="G27" s="10"/>
      <c r="H27" s="10"/>
      <c r="I27" s="10"/>
      <c r="J27" s="10"/>
      <c r="K27" s="11">
        <v>0.01</v>
      </c>
      <c r="L27" s="11">
        <v>6.2941999999999998E-2</v>
      </c>
      <c r="M27" s="10"/>
      <c r="N27" s="10"/>
      <c r="O27" s="10"/>
    </row>
    <row r="28" spans="1:15" x14ac:dyDescent="0.2">
      <c r="A28" t="s">
        <v>76</v>
      </c>
      <c r="B28" s="10"/>
      <c r="C28" s="11">
        <v>2.0579999999999998</v>
      </c>
      <c r="D28" s="10"/>
      <c r="E28" s="11">
        <v>0.84</v>
      </c>
      <c r="F28" s="11">
        <v>1.851E-3</v>
      </c>
      <c r="G28" s="10"/>
      <c r="H28" s="10"/>
      <c r="I28" s="10"/>
      <c r="J28" s="10"/>
      <c r="K28" s="10"/>
      <c r="L28" s="11">
        <v>1.4814000000000001E-2</v>
      </c>
      <c r="M28" s="10"/>
      <c r="N28" s="10"/>
      <c r="O28" s="10"/>
    </row>
    <row r="29" spans="1:15" x14ac:dyDescent="0.2">
      <c r="A29" t="s">
        <v>77</v>
      </c>
      <c r="B29" s="10"/>
      <c r="C29" s="11">
        <v>1.5</v>
      </c>
      <c r="D29" s="10"/>
      <c r="E29" s="11">
        <v>1.9E-2</v>
      </c>
      <c r="F29" s="10"/>
      <c r="G29" s="10"/>
      <c r="H29" s="10"/>
      <c r="I29" s="10"/>
      <c r="J29" s="11">
        <v>0.48</v>
      </c>
      <c r="K29" s="10"/>
      <c r="L29" s="11">
        <v>1.0148000000000001E-2</v>
      </c>
      <c r="M29" s="10"/>
      <c r="N29" s="10"/>
      <c r="O29" s="10"/>
    </row>
    <row r="30" spans="1:15" x14ac:dyDescent="0.2">
      <c r="A30" t="s">
        <v>78</v>
      </c>
      <c r="B30" s="10"/>
      <c r="C30" s="11">
        <v>2</v>
      </c>
      <c r="D30" s="10"/>
      <c r="E30" s="11">
        <v>1</v>
      </c>
      <c r="F30" s="10"/>
      <c r="G30" s="10"/>
      <c r="H30" s="10"/>
      <c r="I30" s="10"/>
      <c r="J30" s="10"/>
      <c r="K30" s="11">
        <v>0.02</v>
      </c>
      <c r="L30" s="11">
        <v>3.1111E-2</v>
      </c>
      <c r="M30" s="10"/>
      <c r="N30" s="10"/>
      <c r="O30" s="10"/>
    </row>
    <row r="31" spans="1:15" x14ac:dyDescent="0.2">
      <c r="A31" t="s">
        <v>79</v>
      </c>
      <c r="B31" s="10"/>
      <c r="C31" s="11">
        <v>2.8</v>
      </c>
      <c r="D31" s="10"/>
      <c r="E31" s="10"/>
      <c r="F31" s="10"/>
      <c r="G31" s="10"/>
      <c r="H31" s="10"/>
      <c r="I31" s="10"/>
      <c r="J31" s="10"/>
      <c r="K31" s="11">
        <v>6.2960000000000004E-3</v>
      </c>
      <c r="L31" s="11">
        <v>7.4000000000000003E-3</v>
      </c>
      <c r="M31" s="10"/>
      <c r="N31" s="10"/>
      <c r="O31" s="10"/>
    </row>
    <row r="32" spans="1:15" x14ac:dyDescent="0.2">
      <c r="A32" t="s">
        <v>80</v>
      </c>
      <c r="B32" s="10"/>
      <c r="C32" s="11">
        <v>0.34499999999999997</v>
      </c>
      <c r="D32" s="10"/>
      <c r="E32" s="11">
        <v>1.4999999999999999E-2</v>
      </c>
      <c r="F32" s="10"/>
      <c r="G32" s="10"/>
      <c r="H32" s="10"/>
      <c r="I32" s="10"/>
      <c r="J32" s="10"/>
      <c r="K32" s="11">
        <v>0.01</v>
      </c>
      <c r="L32" s="10"/>
      <c r="M32" s="10"/>
      <c r="N32" s="10"/>
      <c r="O32" s="10"/>
    </row>
    <row r="33" spans="1:15" x14ac:dyDescent="0.2">
      <c r="A33" t="s">
        <v>81</v>
      </c>
      <c r="B33" s="10"/>
      <c r="C33" s="10"/>
      <c r="D33" s="10"/>
      <c r="E33" s="11">
        <v>5.89</v>
      </c>
      <c r="F33" s="10"/>
      <c r="G33" s="10"/>
      <c r="H33" s="10"/>
      <c r="I33" s="12">
        <v>5</v>
      </c>
      <c r="J33" s="10"/>
      <c r="K33" s="11">
        <v>0.01</v>
      </c>
      <c r="L33" s="11">
        <v>3.1413999999999997E-2</v>
      </c>
      <c r="M33" s="10"/>
      <c r="N33" s="10"/>
      <c r="O33" s="10"/>
    </row>
    <row r="34" spans="1:15" x14ac:dyDescent="0.2">
      <c r="A34" t="s">
        <v>82</v>
      </c>
      <c r="B34" s="11">
        <v>2.9810000000000001E-3</v>
      </c>
      <c r="C34" s="12">
        <v>14.095000000000001</v>
      </c>
      <c r="D34" s="10"/>
      <c r="E34" s="11">
        <v>5.8</v>
      </c>
      <c r="F34" s="10"/>
      <c r="G34" s="11">
        <v>0.91549999999999998</v>
      </c>
      <c r="H34" s="10"/>
      <c r="I34" s="12">
        <v>8.0000239999999998</v>
      </c>
      <c r="J34" s="11">
        <v>1</v>
      </c>
      <c r="K34" s="11">
        <v>4.444E-3</v>
      </c>
      <c r="L34" s="10"/>
      <c r="M34" s="10"/>
      <c r="N34" s="10"/>
      <c r="O34" s="10"/>
    </row>
    <row r="35" spans="1:15" x14ac:dyDescent="0.2">
      <c r="A35" t="s">
        <v>83</v>
      </c>
      <c r="B35" s="11">
        <v>3.7030000000000001E-3</v>
      </c>
      <c r="C35" s="11">
        <v>1.7250000000000001</v>
      </c>
      <c r="D35" s="10"/>
      <c r="E35" s="11">
        <v>1.42004</v>
      </c>
      <c r="F35" s="10"/>
      <c r="G35" s="10"/>
      <c r="H35" s="10"/>
      <c r="I35" s="10"/>
      <c r="J35" s="10"/>
      <c r="K35" s="11">
        <v>5.0000000000000001E-3</v>
      </c>
      <c r="L35" s="11">
        <v>3.0173999999999999E-2</v>
      </c>
      <c r="M35" s="10"/>
      <c r="N35" s="10"/>
      <c r="O35" s="10"/>
    </row>
    <row r="36" spans="1:15" x14ac:dyDescent="0.2">
      <c r="A36" t="s">
        <v>84</v>
      </c>
      <c r="B36" s="10"/>
      <c r="C36" s="11">
        <v>2</v>
      </c>
      <c r="D36" s="10"/>
      <c r="E36" s="10"/>
      <c r="F36" s="10"/>
      <c r="G36" s="11">
        <v>0.60499999999999998</v>
      </c>
      <c r="H36" s="10"/>
      <c r="I36" s="11">
        <v>3</v>
      </c>
      <c r="J36" s="10"/>
      <c r="K36" s="10"/>
      <c r="L36" s="10"/>
      <c r="M36" s="11">
        <v>7.4070000000000004E-3</v>
      </c>
      <c r="N36" s="10"/>
      <c r="O36" s="10"/>
    </row>
    <row r="37" spans="1:15" x14ac:dyDescent="0.2">
      <c r="A37" t="s">
        <v>85</v>
      </c>
      <c r="B37" s="11">
        <v>4</v>
      </c>
      <c r="C37" s="10"/>
      <c r="D37" s="10"/>
      <c r="E37" s="11">
        <v>5.359</v>
      </c>
      <c r="F37" s="10"/>
      <c r="G37" s="10"/>
      <c r="H37" s="10"/>
      <c r="I37" s="11">
        <v>3</v>
      </c>
      <c r="J37" s="10"/>
      <c r="K37" s="11">
        <v>5.0000000000000001E-3</v>
      </c>
      <c r="L37" s="11">
        <v>4.9258999999999997E-2</v>
      </c>
      <c r="M37" s="11">
        <v>7.4060000000000003E-3</v>
      </c>
      <c r="N37" s="10"/>
      <c r="O37" s="10"/>
    </row>
    <row r="38" spans="1:15" x14ac:dyDescent="0.2">
      <c r="A38" t="s">
        <v>86</v>
      </c>
      <c r="B38" s="10"/>
      <c r="C38" s="11">
        <v>1</v>
      </c>
      <c r="D38" s="10"/>
      <c r="E38" s="11">
        <v>5.24</v>
      </c>
      <c r="F38" s="10"/>
      <c r="G38" s="11">
        <v>2</v>
      </c>
      <c r="H38" s="10"/>
      <c r="I38" s="10"/>
      <c r="J38" s="10"/>
      <c r="K38" s="11">
        <v>2.9619999999999998E-3</v>
      </c>
      <c r="L38" s="11">
        <v>5.1800000000000001E-4</v>
      </c>
      <c r="M38" s="11">
        <v>6.5919999999999998E-3</v>
      </c>
      <c r="N38" s="11">
        <v>3.0000000000000001E-3</v>
      </c>
      <c r="O38" s="10"/>
    </row>
    <row r="39" spans="1:15" x14ac:dyDescent="0.2">
      <c r="A39" t="s">
        <v>87</v>
      </c>
      <c r="B39" s="12">
        <v>10</v>
      </c>
      <c r="C39" s="11">
        <v>2</v>
      </c>
      <c r="D39" s="10"/>
      <c r="E39" s="11">
        <v>3.3959999999999999</v>
      </c>
      <c r="F39" s="10"/>
      <c r="G39" s="11">
        <v>1.28</v>
      </c>
      <c r="H39" s="10"/>
      <c r="I39" s="11">
        <v>3</v>
      </c>
      <c r="J39" s="10"/>
      <c r="K39" s="10"/>
      <c r="L39" s="11">
        <v>1.4814000000000001E-2</v>
      </c>
      <c r="M39" s="11">
        <v>5.1840000000000002E-3</v>
      </c>
      <c r="N39" s="11">
        <v>5.0000000000000001E-3</v>
      </c>
      <c r="O39" s="10"/>
    </row>
    <row r="40" spans="1:15" x14ac:dyDescent="0.2">
      <c r="A40" t="s">
        <v>88</v>
      </c>
      <c r="B40" s="11">
        <v>3</v>
      </c>
      <c r="C40" s="10"/>
      <c r="D40" s="10"/>
      <c r="E40" s="10"/>
      <c r="F40" s="10"/>
      <c r="G40" s="10"/>
      <c r="H40" s="10"/>
      <c r="I40" s="10"/>
      <c r="J40" s="11">
        <v>2.5</v>
      </c>
      <c r="K40" s="10"/>
      <c r="L40" s="11">
        <v>1.4815E-2</v>
      </c>
      <c r="M40" s="11">
        <v>6.6660000000000001E-3</v>
      </c>
      <c r="N40" s="11">
        <v>5.9249999999999997E-3</v>
      </c>
      <c r="O40" s="10"/>
    </row>
    <row r="41" spans="1:15" x14ac:dyDescent="0.2">
      <c r="A41" t="s">
        <v>89</v>
      </c>
      <c r="B41" s="10"/>
      <c r="C41" s="10"/>
      <c r="D41" s="10"/>
      <c r="E41" s="10"/>
      <c r="F41" s="10"/>
      <c r="G41" s="10"/>
      <c r="H41" s="10"/>
      <c r="I41" s="10"/>
      <c r="J41" s="11">
        <v>1</v>
      </c>
      <c r="K41" s="10"/>
      <c r="L41" s="11">
        <v>5.0000000000000001E-4</v>
      </c>
      <c r="M41" s="11">
        <v>2.222E-3</v>
      </c>
      <c r="N41" s="10"/>
      <c r="O41" s="10"/>
    </row>
    <row r="42" spans="1:15" x14ac:dyDescent="0.2">
      <c r="A42" t="s">
        <v>90</v>
      </c>
      <c r="B42" s="11">
        <v>4</v>
      </c>
      <c r="C42" s="11">
        <v>0.65</v>
      </c>
      <c r="D42" s="10"/>
      <c r="E42" s="11">
        <v>1.876989</v>
      </c>
      <c r="F42" s="10"/>
      <c r="G42" s="10"/>
      <c r="H42" s="11">
        <v>1.5</v>
      </c>
      <c r="I42" s="10"/>
      <c r="J42" s="11">
        <v>0.65</v>
      </c>
      <c r="K42" s="10"/>
      <c r="L42" s="11">
        <v>27</v>
      </c>
      <c r="M42" s="11">
        <v>2.9619999999999998E-3</v>
      </c>
      <c r="N42" s="12">
        <v>10.006866</v>
      </c>
      <c r="O42" s="10"/>
    </row>
    <row r="43" spans="1:15" x14ac:dyDescent="0.2">
      <c r="A43" t="s">
        <v>91</v>
      </c>
      <c r="B43" s="11">
        <v>3</v>
      </c>
      <c r="C43" s="12">
        <v>4</v>
      </c>
      <c r="D43" s="10"/>
      <c r="E43" s="11">
        <v>1.8160000000000001</v>
      </c>
      <c r="F43" s="10"/>
      <c r="G43" s="11">
        <v>2</v>
      </c>
      <c r="H43" s="10"/>
      <c r="I43" s="10"/>
      <c r="J43" s="11">
        <v>0.8</v>
      </c>
      <c r="K43" s="10"/>
      <c r="L43" s="11">
        <v>30</v>
      </c>
      <c r="M43" s="11">
        <v>3.1470000000000001E-3</v>
      </c>
      <c r="N43" s="12">
        <v>7</v>
      </c>
      <c r="O43" s="10"/>
    </row>
    <row r="44" spans="1:15" x14ac:dyDescent="0.2">
      <c r="A44" t="s">
        <v>92</v>
      </c>
      <c r="B44" s="10"/>
      <c r="C44" s="10"/>
      <c r="D44" s="11">
        <v>1</v>
      </c>
      <c r="E44" s="11">
        <v>5.8419999999999996</v>
      </c>
      <c r="F44" s="10"/>
      <c r="G44" s="11">
        <v>0.5</v>
      </c>
      <c r="H44" s="10"/>
      <c r="I44" s="12">
        <v>10</v>
      </c>
      <c r="J44" s="11">
        <v>2</v>
      </c>
      <c r="K44" s="10"/>
      <c r="L44" s="11">
        <v>2.2221999999999999E-2</v>
      </c>
      <c r="M44" s="11">
        <v>9.1610000000000007E-3</v>
      </c>
      <c r="N44" s="11">
        <v>9.6279999999999994E-3</v>
      </c>
      <c r="O44" s="11">
        <v>3.7030000000000001E-3</v>
      </c>
    </row>
    <row r="45" spans="1:15" x14ac:dyDescent="0.2">
      <c r="A45" t="s">
        <v>93</v>
      </c>
      <c r="B45" s="11">
        <v>2</v>
      </c>
      <c r="C45" s="10"/>
      <c r="D45" s="10"/>
      <c r="E45" s="11">
        <v>0.99099999999999999</v>
      </c>
      <c r="F45" s="10"/>
      <c r="G45" s="11">
        <v>0.76</v>
      </c>
      <c r="H45" s="10"/>
      <c r="I45" s="11">
        <v>3</v>
      </c>
      <c r="J45" s="10"/>
      <c r="K45" s="10"/>
      <c r="L45" s="12">
        <v>40.5</v>
      </c>
      <c r="M45" s="11">
        <v>3.7030000000000001E-3</v>
      </c>
      <c r="N45" s="10"/>
      <c r="O45" s="11">
        <v>6.75</v>
      </c>
    </row>
    <row r="46" spans="1:15" x14ac:dyDescent="0.2">
      <c r="A46" t="s">
        <v>94</v>
      </c>
      <c r="B46" s="10"/>
      <c r="C46" s="10"/>
      <c r="D46" s="10"/>
      <c r="E46" s="11">
        <v>0.27</v>
      </c>
      <c r="F46" s="10"/>
      <c r="G46" s="11">
        <v>3</v>
      </c>
      <c r="H46" s="10"/>
      <c r="I46" s="12">
        <v>10</v>
      </c>
      <c r="J46" s="11">
        <v>0.5</v>
      </c>
      <c r="K46" s="12">
        <v>44.902999999999999</v>
      </c>
      <c r="L46" s="11">
        <v>3.9530999999999997E-2</v>
      </c>
      <c r="M46" s="11">
        <v>6.75</v>
      </c>
      <c r="N46" s="12">
        <v>6.75</v>
      </c>
      <c r="O46" s="10"/>
    </row>
    <row r="47" spans="1:15" x14ac:dyDescent="0.2">
      <c r="A47" t="s">
        <v>95</v>
      </c>
      <c r="B47" s="11">
        <v>3.738E-3</v>
      </c>
      <c r="C47" s="10"/>
      <c r="D47" s="10"/>
      <c r="E47" s="10"/>
      <c r="F47" s="12">
        <v>4.069</v>
      </c>
      <c r="G47" s="11">
        <v>1</v>
      </c>
      <c r="H47" s="10"/>
      <c r="I47" s="12">
        <v>5</v>
      </c>
      <c r="J47" s="11">
        <v>0.5</v>
      </c>
      <c r="K47" s="10"/>
      <c r="L47" s="11">
        <v>0.42</v>
      </c>
      <c r="M47" s="11">
        <v>5.0000000000000001E-3</v>
      </c>
      <c r="N47" s="11">
        <v>5.0000000000000001E-3</v>
      </c>
      <c r="O47" s="11">
        <v>5.0000000000000001E-3</v>
      </c>
    </row>
    <row r="48" spans="1:15" x14ac:dyDescent="0.2">
      <c r="A48" t="s">
        <v>96</v>
      </c>
      <c r="B48" s="10"/>
      <c r="C48" s="12">
        <v>4.0949999999999998</v>
      </c>
      <c r="D48" s="10"/>
      <c r="E48" s="10"/>
      <c r="F48" s="12">
        <v>43.255000000000003</v>
      </c>
      <c r="G48" s="11">
        <v>2.73</v>
      </c>
      <c r="H48" s="12">
        <v>2.6440000000000001</v>
      </c>
      <c r="I48" s="10"/>
      <c r="J48" s="10"/>
      <c r="K48" s="10"/>
      <c r="L48" s="11">
        <v>13.7</v>
      </c>
      <c r="M48" s="11">
        <v>6.75</v>
      </c>
      <c r="N48" s="12">
        <v>10.074999999999999</v>
      </c>
      <c r="O48" s="11">
        <v>6.75</v>
      </c>
    </row>
    <row r="49" spans="1:15" x14ac:dyDescent="0.2">
      <c r="A49" t="s">
        <v>97</v>
      </c>
      <c r="B49" s="11">
        <v>3</v>
      </c>
      <c r="C49" s="11">
        <v>1.5</v>
      </c>
      <c r="D49" s="10"/>
      <c r="E49" s="10"/>
      <c r="F49" s="10"/>
      <c r="G49" s="11">
        <v>1.345</v>
      </c>
      <c r="H49" s="10"/>
      <c r="I49" s="10"/>
      <c r="J49" s="11">
        <v>0.5</v>
      </c>
      <c r="K49" s="10"/>
      <c r="L49" s="11">
        <v>20.2</v>
      </c>
      <c r="M49" s="11">
        <v>6.75</v>
      </c>
      <c r="N49" s="10"/>
      <c r="O49" s="11">
        <v>6.75</v>
      </c>
    </row>
    <row r="50" spans="1:15" x14ac:dyDescent="0.2">
      <c r="A50" t="s">
        <v>98</v>
      </c>
      <c r="B50" s="10"/>
      <c r="C50" s="11">
        <v>2</v>
      </c>
      <c r="D50" s="10"/>
      <c r="E50" s="11">
        <v>0.52500000000000002</v>
      </c>
      <c r="F50" s="10"/>
      <c r="G50" s="11">
        <v>1</v>
      </c>
      <c r="H50" s="11">
        <v>1</v>
      </c>
      <c r="I50" s="11">
        <v>2</v>
      </c>
      <c r="J50" s="10"/>
      <c r="K50" s="10"/>
      <c r="L50" s="11">
        <v>20</v>
      </c>
      <c r="M50" s="12">
        <v>20.25</v>
      </c>
      <c r="N50" s="12">
        <v>10</v>
      </c>
      <c r="O50" s="11">
        <v>6.75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7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2" width="14" customWidth="1"/>
    <col min="3" max="3" width="23" customWidth="1"/>
    <col min="4" max="4" width="25" customWidth="1"/>
    <col min="5" max="5" width="28" customWidth="1"/>
    <col min="6" max="6" width="14" customWidth="1"/>
  </cols>
  <sheetData>
    <row r="1" spans="1:6" x14ac:dyDescent="0.2">
      <c r="A1" s="59" t="s">
        <v>133</v>
      </c>
      <c r="B1" s="54"/>
      <c r="C1" s="54"/>
      <c r="D1" s="54"/>
      <c r="E1" s="54"/>
    </row>
    <row r="3" spans="1:6" ht="16" x14ac:dyDescent="0.2">
      <c r="A3" s="58" t="s">
        <v>134</v>
      </c>
      <c r="B3" s="54"/>
      <c r="C3" s="54"/>
      <c r="D3" s="54"/>
      <c r="E3" s="54"/>
      <c r="F3" s="54"/>
    </row>
    <row r="4" spans="1:6" ht="16" x14ac:dyDescent="0.2">
      <c r="A4" s="1" t="s">
        <v>135</v>
      </c>
      <c r="B4" s="1" t="s">
        <v>136</v>
      </c>
      <c r="C4" s="1" t="s">
        <v>137</v>
      </c>
      <c r="D4" s="1" t="s">
        <v>138</v>
      </c>
      <c r="E4" s="1" t="s">
        <v>139</v>
      </c>
    </row>
    <row r="5" spans="1:6" x14ac:dyDescent="0.2">
      <c r="A5" s="10" t="s">
        <v>118</v>
      </c>
      <c r="B5" s="10" t="s">
        <v>140</v>
      </c>
      <c r="C5" s="19">
        <v>-3.6600777799999998E-2</v>
      </c>
      <c r="D5" s="20">
        <v>-49.411050029999998</v>
      </c>
      <c r="E5" s="21">
        <v>46089.638391203713</v>
      </c>
    </row>
    <row r="6" spans="1:6" x14ac:dyDescent="0.2">
      <c r="A6" s="10" t="s">
        <v>118</v>
      </c>
      <c r="B6" s="10" t="s">
        <v>141</v>
      </c>
      <c r="C6" s="19">
        <v>14.606999999999999</v>
      </c>
      <c r="D6" s="20">
        <v>14.606999999999999</v>
      </c>
      <c r="E6" s="21">
        <v>45990.438726851848</v>
      </c>
    </row>
    <row r="7" spans="1:6" x14ac:dyDescent="0.2">
      <c r="A7" s="10" t="s">
        <v>119</v>
      </c>
      <c r="B7" s="10" t="s">
        <v>140</v>
      </c>
      <c r="C7" s="19">
        <v>0</v>
      </c>
      <c r="D7" s="20">
        <v>0</v>
      </c>
      <c r="E7" s="21">
        <v>1</v>
      </c>
    </row>
    <row r="8" spans="1:6" x14ac:dyDescent="0.2">
      <c r="A8" s="10" t="s">
        <v>119</v>
      </c>
      <c r="B8" s="10" t="s">
        <v>141</v>
      </c>
      <c r="C8" s="19">
        <v>-4.9385000000000003</v>
      </c>
      <c r="D8" s="20">
        <v>-4.9385000000000003</v>
      </c>
      <c r="E8" s="21">
        <v>46120.633819444447</v>
      </c>
    </row>
    <row r="9" spans="1:6" x14ac:dyDescent="0.2">
      <c r="A9" s="10" t="s">
        <v>120</v>
      </c>
      <c r="B9" s="10" t="s">
        <v>140</v>
      </c>
      <c r="C9" s="19">
        <v>0</v>
      </c>
      <c r="D9" s="20">
        <v>0</v>
      </c>
      <c r="E9" s="21">
        <v>1</v>
      </c>
    </row>
    <row r="10" spans="1:6" x14ac:dyDescent="0.2">
      <c r="A10" s="10" t="s">
        <v>120</v>
      </c>
      <c r="B10" s="10" t="s">
        <v>141</v>
      </c>
      <c r="C10" s="19">
        <v>0.44400000000000001</v>
      </c>
      <c r="D10" s="20">
        <v>0.44400000000000001</v>
      </c>
      <c r="E10" s="21">
        <v>46120.753298611111</v>
      </c>
    </row>
    <row r="11" spans="1:6" x14ac:dyDescent="0.2">
      <c r="A11" s="10" t="s">
        <v>121</v>
      </c>
      <c r="B11" s="10" t="s">
        <v>140</v>
      </c>
      <c r="C11" s="19">
        <v>0</v>
      </c>
      <c r="D11" s="20">
        <v>0</v>
      </c>
      <c r="E11" s="21">
        <v>44448.748263888891</v>
      </c>
    </row>
    <row r="12" spans="1:6" x14ac:dyDescent="0.2">
      <c r="A12" s="10" t="s">
        <v>121</v>
      </c>
      <c r="B12" s="10" t="s">
        <v>141</v>
      </c>
      <c r="C12" s="19">
        <v>-1.3400004400000001</v>
      </c>
      <c r="D12" s="20">
        <v>-1.3400004400000001</v>
      </c>
      <c r="E12" s="21">
        <v>46149.705231481479</v>
      </c>
    </row>
    <row r="13" spans="1:6" x14ac:dyDescent="0.2">
      <c r="A13" s="10" t="s">
        <v>122</v>
      </c>
      <c r="B13" s="10" t="s">
        <v>140</v>
      </c>
      <c r="C13" s="19">
        <v>-1.7659759300000001E-2</v>
      </c>
      <c r="D13" s="20">
        <v>-23.840675054999998</v>
      </c>
      <c r="E13" s="21">
        <v>46054.920729166668</v>
      </c>
    </row>
    <row r="14" spans="1:6" x14ac:dyDescent="0.2">
      <c r="A14" s="10" t="s">
        <v>122</v>
      </c>
      <c r="B14" s="10" t="s">
        <v>141</v>
      </c>
      <c r="C14" s="19">
        <v>-0.751</v>
      </c>
      <c r="D14" s="20">
        <v>-0.751</v>
      </c>
      <c r="E14" s="21">
        <v>46037.925474537027</v>
      </c>
    </row>
    <row r="15" spans="1:6" x14ac:dyDescent="0.2">
      <c r="A15" s="10" t="s">
        <v>123</v>
      </c>
      <c r="B15" s="10" t="s">
        <v>140</v>
      </c>
      <c r="C15" s="19">
        <v>0</v>
      </c>
      <c r="D15" s="20">
        <v>0</v>
      </c>
      <c r="E15" s="21">
        <v>44595.692737997677</v>
      </c>
    </row>
    <row r="16" spans="1:6" x14ac:dyDescent="0.2">
      <c r="A16" s="10" t="s">
        <v>123</v>
      </c>
      <c r="B16" s="10" t="s">
        <v>141</v>
      </c>
      <c r="C16" s="19">
        <v>-1</v>
      </c>
      <c r="D16" s="20">
        <v>-1</v>
      </c>
      <c r="E16" s="21">
        <v>46146.755590277768</v>
      </c>
    </row>
    <row r="17" spans="1:5" x14ac:dyDescent="0.2">
      <c r="A17" s="10" t="s">
        <v>124</v>
      </c>
      <c r="B17" s="10" t="s">
        <v>141</v>
      </c>
      <c r="C17" s="19">
        <v>-1.7200200000000001</v>
      </c>
      <c r="D17" s="20">
        <v>-1.7200200000000001</v>
      </c>
      <c r="E17" s="21">
        <v>46118.619699074072</v>
      </c>
    </row>
    <row r="18" spans="1:5" x14ac:dyDescent="0.2">
      <c r="A18" s="10" t="s">
        <v>125</v>
      </c>
      <c r="B18" s="10" t="s">
        <v>140</v>
      </c>
      <c r="C18" s="19">
        <v>0</v>
      </c>
      <c r="D18" s="20">
        <v>0</v>
      </c>
      <c r="E18" s="21">
        <v>45643.891435185193</v>
      </c>
    </row>
    <row r="19" spans="1:5" x14ac:dyDescent="0.2">
      <c r="A19" s="10" t="s">
        <v>125</v>
      </c>
      <c r="B19" s="10" t="s">
        <v>141</v>
      </c>
      <c r="C19" s="19">
        <v>-18.60211</v>
      </c>
      <c r="D19" s="20">
        <v>-18.60211</v>
      </c>
      <c r="E19" s="21">
        <v>46116.493090277778</v>
      </c>
    </row>
    <row r="20" spans="1:5" x14ac:dyDescent="0.2">
      <c r="A20" s="10" t="s">
        <v>126</v>
      </c>
      <c r="B20" s="10" t="s">
        <v>141</v>
      </c>
      <c r="C20" s="19">
        <v>-1.7509999999999999</v>
      </c>
      <c r="D20" s="20">
        <v>-1.7509999999999999</v>
      </c>
      <c r="E20" s="21">
        <v>46151.7893287037</v>
      </c>
    </row>
    <row r="21" spans="1:5" x14ac:dyDescent="0.2">
      <c r="A21" s="10" t="s">
        <v>127</v>
      </c>
      <c r="B21" s="10" t="s">
        <v>140</v>
      </c>
      <c r="C21" s="19">
        <v>-7.9327538500000003E-2</v>
      </c>
      <c r="D21" s="20">
        <v>-107.092176975</v>
      </c>
      <c r="E21" s="21">
        <v>46006.961944444447</v>
      </c>
    </row>
    <row r="22" spans="1:5" x14ac:dyDescent="0.2">
      <c r="A22" s="10" t="s">
        <v>127</v>
      </c>
      <c r="B22" s="10" t="s">
        <v>141</v>
      </c>
      <c r="C22" s="19">
        <v>0</v>
      </c>
      <c r="D22" s="20">
        <v>0</v>
      </c>
      <c r="E22" s="21">
        <v>45164.681898148148</v>
      </c>
    </row>
    <row r="23" spans="1:5" x14ac:dyDescent="0.2">
      <c r="A23" s="10" t="s">
        <v>128</v>
      </c>
      <c r="B23" s="10" t="s">
        <v>140</v>
      </c>
      <c r="C23" s="19">
        <v>-0.19768483570000001</v>
      </c>
      <c r="D23" s="20">
        <v>-266.87452819499998</v>
      </c>
      <c r="E23" s="21">
        <v>46089.65834490741</v>
      </c>
    </row>
    <row r="24" spans="1:5" x14ac:dyDescent="0.2">
      <c r="A24" s="10" t="s">
        <v>128</v>
      </c>
      <c r="B24" s="10" t="s">
        <v>141</v>
      </c>
      <c r="C24" s="19">
        <v>0</v>
      </c>
      <c r="D24" s="20">
        <v>0</v>
      </c>
      <c r="E24" s="21">
        <v>45368.690416666657</v>
      </c>
    </row>
    <row r="25" spans="1:5" x14ac:dyDescent="0.2">
      <c r="A25" s="10" t="s">
        <v>129</v>
      </c>
      <c r="B25" s="10" t="s">
        <v>140</v>
      </c>
      <c r="C25" s="19">
        <v>-0.11350403000000001</v>
      </c>
      <c r="D25" s="20">
        <v>-153.23044049999999</v>
      </c>
      <c r="E25" s="21">
        <v>46148.787083333344</v>
      </c>
    </row>
    <row r="26" spans="1:5" x14ac:dyDescent="0.2">
      <c r="A26" s="10" t="s">
        <v>129</v>
      </c>
      <c r="B26" s="10" t="s">
        <v>141</v>
      </c>
      <c r="C26" s="19">
        <v>0</v>
      </c>
      <c r="D26" s="20">
        <v>0</v>
      </c>
      <c r="E26" s="21">
        <v>45852.851701388892</v>
      </c>
    </row>
    <row r="27" spans="1:5" x14ac:dyDescent="0.2">
      <c r="A27" s="10" t="s">
        <v>130</v>
      </c>
      <c r="B27" s="10" t="s">
        <v>140</v>
      </c>
      <c r="C27" s="19">
        <v>-4.4826036999999999E-2</v>
      </c>
      <c r="D27" s="20">
        <v>-60.515149950000001</v>
      </c>
      <c r="E27" s="21">
        <v>46122.954317129632</v>
      </c>
    </row>
    <row r="28" spans="1:5" x14ac:dyDescent="0.2">
      <c r="A28" s="10" t="s">
        <v>130</v>
      </c>
      <c r="B28" s="10" t="s">
        <v>141</v>
      </c>
      <c r="C28" s="19">
        <v>0</v>
      </c>
      <c r="D28" s="20">
        <v>0</v>
      </c>
      <c r="E28" s="21">
        <v>1</v>
      </c>
    </row>
    <row r="29" spans="1:5" x14ac:dyDescent="0.2">
      <c r="A29" s="10" t="s">
        <v>131</v>
      </c>
      <c r="B29" s="10" t="s">
        <v>140</v>
      </c>
      <c r="C29" s="19">
        <v>-3.6572399999999998E-2</v>
      </c>
      <c r="D29" s="20">
        <v>-49.37274</v>
      </c>
      <c r="E29" s="21">
        <v>46124.656956018523</v>
      </c>
    </row>
    <row r="30" spans="1:5" x14ac:dyDescent="0.2">
      <c r="A30" s="10" t="s">
        <v>131</v>
      </c>
      <c r="B30" s="10" t="s">
        <v>141</v>
      </c>
      <c r="C30" s="19">
        <v>0</v>
      </c>
      <c r="D30" s="20">
        <v>0</v>
      </c>
      <c r="E30" s="21">
        <v>1</v>
      </c>
    </row>
    <row r="33" spans="1:6" ht="16" x14ac:dyDescent="0.2">
      <c r="A33" s="58" t="s">
        <v>142</v>
      </c>
      <c r="B33" s="54"/>
      <c r="C33" s="54"/>
      <c r="D33" s="54"/>
      <c r="E33" s="54"/>
      <c r="F33" s="54"/>
    </row>
    <row r="34" spans="1:6" ht="16" x14ac:dyDescent="0.2">
      <c r="A34" s="1" t="s">
        <v>143</v>
      </c>
      <c r="B34" s="1" t="s">
        <v>136</v>
      </c>
      <c r="C34" s="1" t="s">
        <v>144</v>
      </c>
    </row>
    <row r="35" spans="1:6" x14ac:dyDescent="0.2">
      <c r="A35" s="10" t="s">
        <v>145</v>
      </c>
      <c r="B35" s="10" t="s">
        <v>141</v>
      </c>
      <c r="C35" s="20">
        <v>123.31871083</v>
      </c>
    </row>
    <row r="36" spans="1:6" x14ac:dyDescent="0.2">
      <c r="A36" s="10" t="s">
        <v>145</v>
      </c>
      <c r="B36" s="10" t="s">
        <v>140</v>
      </c>
      <c r="C36" s="20">
        <v>-5.0000000000000001E-3</v>
      </c>
    </row>
    <row r="37" spans="1:6" x14ac:dyDescent="0.2">
      <c r="A37" s="10" t="s">
        <v>146</v>
      </c>
      <c r="B37" s="10" t="s">
        <v>141</v>
      </c>
      <c r="C37" s="20">
        <v>69.934759999999997</v>
      </c>
    </row>
    <row r="38" spans="1:6" x14ac:dyDescent="0.2">
      <c r="A38" s="10" t="s">
        <v>146</v>
      </c>
      <c r="B38" s="10" t="s">
        <v>140</v>
      </c>
      <c r="C38" s="20">
        <v>0</v>
      </c>
    </row>
    <row r="39" spans="1:6" x14ac:dyDescent="0.2">
      <c r="A39" s="10" t="s">
        <v>147</v>
      </c>
      <c r="B39" s="10" t="s">
        <v>141</v>
      </c>
      <c r="C39" s="20">
        <v>0</v>
      </c>
    </row>
    <row r="40" spans="1:6" x14ac:dyDescent="0.2">
      <c r="A40" s="10" t="s">
        <v>148</v>
      </c>
      <c r="B40" s="10" t="s">
        <v>141</v>
      </c>
      <c r="C40" s="20">
        <v>0</v>
      </c>
    </row>
    <row r="41" spans="1:6" x14ac:dyDescent="0.2">
      <c r="A41" s="10" t="s">
        <v>149</v>
      </c>
      <c r="B41" s="10" t="s">
        <v>141</v>
      </c>
      <c r="C41" s="20">
        <v>0</v>
      </c>
    </row>
    <row r="42" spans="1:6" x14ac:dyDescent="0.2">
      <c r="A42" s="10" t="s">
        <v>150</v>
      </c>
      <c r="B42" s="10" t="s">
        <v>141</v>
      </c>
      <c r="C42" s="20">
        <v>31.902999999999999</v>
      </c>
    </row>
    <row r="43" spans="1:6" x14ac:dyDescent="0.2">
      <c r="A43" s="10" t="s">
        <v>151</v>
      </c>
      <c r="B43" s="10" t="s">
        <v>141</v>
      </c>
      <c r="C43" s="20">
        <v>0</v>
      </c>
    </row>
    <row r="46" spans="1:6" ht="16" x14ac:dyDescent="0.2">
      <c r="A46" s="58" t="s">
        <v>152</v>
      </c>
      <c r="B46" s="54"/>
      <c r="C46" s="54"/>
      <c r="D46" s="54"/>
      <c r="E46" s="54"/>
      <c r="F46" s="54"/>
    </row>
    <row r="47" spans="1:6" ht="16" x14ac:dyDescent="0.2">
      <c r="A47" s="1" t="s">
        <v>153</v>
      </c>
      <c r="B47" s="1" t="s">
        <v>136</v>
      </c>
      <c r="C47" s="1" t="s">
        <v>144</v>
      </c>
    </row>
    <row r="48" spans="1:6" x14ac:dyDescent="0.2">
      <c r="A48" s="10" t="s">
        <v>154</v>
      </c>
      <c r="B48" s="10" t="s">
        <v>141</v>
      </c>
      <c r="C48" s="11">
        <v>207.57775099</v>
      </c>
    </row>
    <row r="49" spans="1:3" x14ac:dyDescent="0.2">
      <c r="A49" s="10" t="s">
        <v>155</v>
      </c>
      <c r="B49" s="10" t="s">
        <v>141</v>
      </c>
      <c r="C49" s="11">
        <v>30.001000000000001</v>
      </c>
    </row>
    <row r="50" spans="1:3" x14ac:dyDescent="0.2">
      <c r="A50" s="10" t="s">
        <v>156</v>
      </c>
      <c r="B50" s="10" t="s">
        <v>141</v>
      </c>
      <c r="C50" s="11">
        <v>24.310756380000001</v>
      </c>
    </row>
    <row r="51" spans="1:3" x14ac:dyDescent="0.2">
      <c r="A51" s="10" t="s">
        <v>157</v>
      </c>
      <c r="B51" s="10" t="s">
        <v>141</v>
      </c>
      <c r="C51" s="11">
        <v>19.096</v>
      </c>
    </row>
    <row r="52" spans="1:3" x14ac:dyDescent="0.2">
      <c r="A52" s="10" t="s">
        <v>158</v>
      </c>
      <c r="B52" s="10" t="s">
        <v>141</v>
      </c>
      <c r="C52" s="11">
        <v>17.734749999999998</v>
      </c>
    </row>
    <row r="53" spans="1:3" x14ac:dyDescent="0.2">
      <c r="A53" s="10" t="s">
        <v>159</v>
      </c>
      <c r="B53" s="10" t="s">
        <v>141</v>
      </c>
      <c r="C53" s="11">
        <v>16.575749999999999</v>
      </c>
    </row>
    <row r="54" spans="1:3" x14ac:dyDescent="0.2">
      <c r="A54" s="10" t="s">
        <v>160</v>
      </c>
      <c r="B54" s="10" t="s">
        <v>141</v>
      </c>
      <c r="C54" s="11">
        <v>15.743</v>
      </c>
    </row>
    <row r="55" spans="1:3" x14ac:dyDescent="0.2">
      <c r="A55" s="10" t="s">
        <v>161</v>
      </c>
      <c r="B55" s="10" t="s">
        <v>141</v>
      </c>
      <c r="C55" s="11">
        <v>14.829000000000001</v>
      </c>
    </row>
    <row r="56" spans="1:3" x14ac:dyDescent="0.2">
      <c r="A56" s="10" t="s">
        <v>162</v>
      </c>
      <c r="B56" s="10" t="s">
        <v>141</v>
      </c>
      <c r="C56" s="11">
        <v>14.618499999999999</v>
      </c>
    </row>
    <row r="57" spans="1:3" x14ac:dyDescent="0.2">
      <c r="A57" s="10" t="s">
        <v>163</v>
      </c>
      <c r="B57" s="10" t="s">
        <v>141</v>
      </c>
      <c r="C57" s="11">
        <v>12.315</v>
      </c>
    </row>
    <row r="58" spans="1:3" x14ac:dyDescent="0.2">
      <c r="A58" s="10" t="s">
        <v>164</v>
      </c>
      <c r="B58" s="10" t="s">
        <v>141</v>
      </c>
      <c r="C58" s="11">
        <v>11.871</v>
      </c>
    </row>
    <row r="59" spans="1:3" x14ac:dyDescent="0.2">
      <c r="A59" s="10" t="s">
        <v>165</v>
      </c>
      <c r="B59" s="10" t="s">
        <v>141</v>
      </c>
      <c r="C59" s="11">
        <v>8.81</v>
      </c>
    </row>
    <row r="60" spans="1:3" x14ac:dyDescent="0.2">
      <c r="A60" s="10" t="s">
        <v>166</v>
      </c>
      <c r="B60" s="10" t="s">
        <v>141</v>
      </c>
      <c r="C60" s="11">
        <v>7.5430000000000001</v>
      </c>
    </row>
    <row r="61" spans="1:3" x14ac:dyDescent="0.2">
      <c r="A61" s="10" t="s">
        <v>167</v>
      </c>
      <c r="B61" s="10" t="s">
        <v>141</v>
      </c>
      <c r="C61" s="11">
        <v>7.5</v>
      </c>
    </row>
    <row r="62" spans="1:3" x14ac:dyDescent="0.2">
      <c r="A62" s="10" t="s">
        <v>168</v>
      </c>
      <c r="B62" s="10" t="s">
        <v>141</v>
      </c>
      <c r="C62" s="11">
        <v>7.1307</v>
      </c>
    </row>
    <row r="63" spans="1:3" x14ac:dyDescent="0.2">
      <c r="A63" s="10" t="s">
        <v>169</v>
      </c>
      <c r="B63" s="10" t="s">
        <v>141</v>
      </c>
      <c r="C63" s="11">
        <v>7</v>
      </c>
    </row>
    <row r="64" spans="1:3" x14ac:dyDescent="0.2">
      <c r="A64" s="10" t="s">
        <v>170</v>
      </c>
      <c r="B64" s="10" t="s">
        <v>141</v>
      </c>
      <c r="C64" s="11">
        <v>7</v>
      </c>
    </row>
    <row r="65" spans="1:3" x14ac:dyDescent="0.2">
      <c r="A65" s="10" t="s">
        <v>171</v>
      </c>
      <c r="B65" s="10" t="s">
        <v>141</v>
      </c>
      <c r="C65" s="11">
        <v>6.4135</v>
      </c>
    </row>
    <row r="66" spans="1:3" x14ac:dyDescent="0.2">
      <c r="A66" s="10" t="s">
        <v>172</v>
      </c>
      <c r="B66" s="10" t="s">
        <v>141</v>
      </c>
      <c r="C66" s="11">
        <v>5.5</v>
      </c>
    </row>
    <row r="67" spans="1:3" x14ac:dyDescent="0.2">
      <c r="A67" s="10" t="s">
        <v>173</v>
      </c>
      <c r="B67" s="10" t="s">
        <v>141</v>
      </c>
      <c r="C67" s="11">
        <v>5.3869999999999996</v>
      </c>
    </row>
    <row r="68" spans="1:3" x14ac:dyDescent="0.2">
      <c r="A68" s="10" t="s">
        <v>174</v>
      </c>
      <c r="B68" s="10" t="s">
        <v>141</v>
      </c>
      <c r="C68" s="11">
        <v>4.8929999999999998</v>
      </c>
    </row>
    <row r="69" spans="1:3" x14ac:dyDescent="0.2">
      <c r="A69" s="10" t="s">
        <v>175</v>
      </c>
      <c r="B69" s="10" t="s">
        <v>141</v>
      </c>
      <c r="C69" s="11">
        <v>4.6189999999999998</v>
      </c>
    </row>
    <row r="70" spans="1:3" x14ac:dyDescent="0.2">
      <c r="A70" s="10" t="s">
        <v>176</v>
      </c>
      <c r="B70" s="10" t="s">
        <v>141</v>
      </c>
      <c r="C70" s="11">
        <v>4.5890000000000004</v>
      </c>
    </row>
    <row r="71" spans="1:3" x14ac:dyDescent="0.2">
      <c r="A71" s="10" t="s">
        <v>177</v>
      </c>
      <c r="B71" s="10" t="s">
        <v>141</v>
      </c>
      <c r="C71" s="11">
        <v>4.5149999999999997</v>
      </c>
    </row>
    <row r="72" spans="1:3" x14ac:dyDescent="0.2">
      <c r="A72" s="10" t="s">
        <v>178</v>
      </c>
      <c r="B72" s="10" t="s">
        <v>141</v>
      </c>
      <c r="C72" s="11">
        <v>4.4359999999999999</v>
      </c>
    </row>
    <row r="73" spans="1:3" x14ac:dyDescent="0.2">
      <c r="A73" s="10" t="s">
        <v>179</v>
      </c>
      <c r="B73" s="10" t="s">
        <v>141</v>
      </c>
      <c r="C73" s="11">
        <v>4.3905000000000003</v>
      </c>
    </row>
    <row r="74" spans="1:3" x14ac:dyDescent="0.2">
      <c r="A74" s="10" t="s">
        <v>180</v>
      </c>
      <c r="B74" s="10" t="s">
        <v>141</v>
      </c>
      <c r="C74" s="11">
        <v>4.3429500000000001</v>
      </c>
    </row>
    <row r="75" spans="1:3" x14ac:dyDescent="0.2">
      <c r="A75" s="10" t="s">
        <v>181</v>
      </c>
      <c r="B75" s="10" t="s">
        <v>141</v>
      </c>
      <c r="C75" s="11">
        <v>4.06325</v>
      </c>
    </row>
    <row r="76" spans="1:3" x14ac:dyDescent="0.2">
      <c r="A76" s="10" t="s">
        <v>182</v>
      </c>
      <c r="B76" s="10" t="s">
        <v>141</v>
      </c>
      <c r="C76" s="11">
        <v>3.8370000000000002</v>
      </c>
    </row>
    <row r="77" spans="1:3" x14ac:dyDescent="0.2">
      <c r="A77" s="10" t="s">
        <v>183</v>
      </c>
      <c r="B77" s="10" t="s">
        <v>141</v>
      </c>
      <c r="C77" s="11">
        <v>3.75</v>
      </c>
    </row>
  </sheetData>
  <mergeCells count="4">
    <mergeCell ref="A3:F3"/>
    <mergeCell ref="A33:F33"/>
    <mergeCell ref="A1:E1"/>
    <mergeCell ref="A46:F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2" width="12" customWidth="1"/>
    <col min="3" max="4" width="10" customWidth="1"/>
  </cols>
  <sheetData>
    <row r="1" spans="1:4" ht="19" x14ac:dyDescent="0.25">
      <c r="A1" s="60" t="s">
        <v>184</v>
      </c>
      <c r="B1" s="54"/>
      <c r="C1" s="54"/>
      <c r="D1" s="54"/>
    </row>
    <row r="3" spans="1:4" x14ac:dyDescent="0.2">
      <c r="A3" t="s">
        <v>185</v>
      </c>
      <c r="B3" s="22">
        <v>15633</v>
      </c>
    </row>
    <row r="4" spans="1:4" x14ac:dyDescent="0.2">
      <c r="A4" t="s">
        <v>40</v>
      </c>
      <c r="B4" s="2">
        <v>5891.2652200000002</v>
      </c>
    </row>
    <row r="5" spans="1:4" x14ac:dyDescent="0.2">
      <c r="A5" t="s">
        <v>41</v>
      </c>
      <c r="B5" s="2">
        <v>1216.9775</v>
      </c>
    </row>
    <row r="6" spans="1:4" x14ac:dyDescent="0.2">
      <c r="A6" t="s">
        <v>186</v>
      </c>
      <c r="B6" s="9">
        <v>4674.2877200000003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rightToLeft="1" workbookViewId="0"/>
  </sheetViews>
  <sheetFormatPr baseColWidth="10" defaultColWidth="8.83203125" defaultRowHeight="15" x14ac:dyDescent="0.2"/>
  <cols>
    <col min="1" max="1" width="10" customWidth="1"/>
    <col min="2" max="6" width="20" customWidth="1"/>
    <col min="7" max="7" width="19" customWidth="1"/>
    <col min="8" max="8" width="10" customWidth="1"/>
  </cols>
  <sheetData>
    <row r="1" spans="1:8" ht="16" x14ac:dyDescent="0.2">
      <c r="A1" s="1" t="s">
        <v>43</v>
      </c>
      <c r="B1" s="1" t="s">
        <v>28</v>
      </c>
      <c r="C1" s="1" t="s">
        <v>30</v>
      </c>
      <c r="D1" s="1" t="s">
        <v>32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">
      <c r="A2" s="10" t="s">
        <v>187</v>
      </c>
      <c r="B2" s="23">
        <v>109.57095750000001</v>
      </c>
      <c r="C2" s="23">
        <v>5.148231</v>
      </c>
      <c r="D2" s="23">
        <v>2.80925</v>
      </c>
      <c r="E2" s="23">
        <v>8.456999999999999</v>
      </c>
      <c r="F2" s="23">
        <v>5.12425</v>
      </c>
      <c r="G2" s="23">
        <v>32.631250000000001</v>
      </c>
      <c r="H2" s="23">
        <v>1.8749999999999999E-2</v>
      </c>
    </row>
    <row r="3" spans="1:8" x14ac:dyDescent="0.2">
      <c r="A3" s="10" t="s">
        <v>188</v>
      </c>
      <c r="B3" s="23">
        <v>99.681378749999993</v>
      </c>
      <c r="C3" s="23">
        <v>25.73909725</v>
      </c>
      <c r="D3" s="23">
        <v>3.0070000000000001</v>
      </c>
      <c r="E3" s="23">
        <v>3.5065</v>
      </c>
      <c r="F3" s="23">
        <v>2.1648749999999999</v>
      </c>
      <c r="G3" s="23">
        <v>17.11375</v>
      </c>
      <c r="H3" s="23">
        <v>2.5000000000000001E-2</v>
      </c>
    </row>
    <row r="4" spans="1:8" x14ac:dyDescent="0.2">
      <c r="A4" s="10" t="s">
        <v>189</v>
      </c>
      <c r="B4" s="23">
        <v>103.38207925</v>
      </c>
      <c r="C4" s="23">
        <v>17.110312</v>
      </c>
      <c r="D4" s="23">
        <v>3.61375</v>
      </c>
      <c r="E4" s="23">
        <v>3.0412499999999998</v>
      </c>
      <c r="F4" s="23">
        <v>2.4117500000000001</v>
      </c>
      <c r="G4" s="23">
        <v>10.306125</v>
      </c>
      <c r="H4" s="23">
        <v>1.7500000000000002E-2</v>
      </c>
    </row>
    <row r="5" spans="1:8" x14ac:dyDescent="0.2">
      <c r="A5" s="10" t="s">
        <v>190</v>
      </c>
      <c r="B5" s="23">
        <v>95.210891500000002</v>
      </c>
      <c r="C5" s="23">
        <v>20.06167675</v>
      </c>
      <c r="D5" s="23">
        <v>1.3149999999999999</v>
      </c>
      <c r="E5" s="23">
        <v>3.2047500000000002</v>
      </c>
      <c r="F5" s="23">
        <v>1.2535000000000001</v>
      </c>
      <c r="G5" s="23">
        <v>14.5105</v>
      </c>
      <c r="H5" s="23">
        <v>0</v>
      </c>
    </row>
    <row r="6" spans="1:8" x14ac:dyDescent="0.2">
      <c r="A6" s="10" t="s">
        <v>191</v>
      </c>
      <c r="B6" s="23">
        <v>94.795582499999995</v>
      </c>
      <c r="C6" s="23">
        <v>10.924519999999999</v>
      </c>
      <c r="D6" s="23">
        <v>2.0750000000000002</v>
      </c>
      <c r="E6" s="23">
        <v>2.0412499999999998</v>
      </c>
      <c r="F6" s="23">
        <v>0.74978499999999992</v>
      </c>
      <c r="G6" s="23">
        <v>7.6787499999999991</v>
      </c>
      <c r="H6" s="23">
        <v>4.7500000000000001E-2</v>
      </c>
    </row>
    <row r="7" spans="1:8" x14ac:dyDescent="0.2">
      <c r="A7" s="10" t="s">
        <v>192</v>
      </c>
      <c r="B7" s="23">
        <v>123.582909</v>
      </c>
      <c r="C7" s="23">
        <v>6.9000837499999994</v>
      </c>
      <c r="D7" s="23">
        <v>2.42</v>
      </c>
      <c r="E7" s="23">
        <v>3.9047499999999999</v>
      </c>
      <c r="F7" s="23">
        <v>4.6254200000000001</v>
      </c>
      <c r="G7" s="23">
        <v>24.856000000000002</v>
      </c>
      <c r="H7" s="23">
        <v>0</v>
      </c>
    </row>
    <row r="8" spans="1:8" x14ac:dyDescent="0.2">
      <c r="A8" s="10" t="s">
        <v>193</v>
      </c>
      <c r="B8" s="23">
        <v>113.6832125</v>
      </c>
      <c r="C8" s="23">
        <v>4.4765984999999997</v>
      </c>
      <c r="D8" s="23">
        <v>2.37425</v>
      </c>
      <c r="E8" s="23">
        <v>9.6795000000000009</v>
      </c>
      <c r="F8" s="23">
        <v>6.7118802500000001</v>
      </c>
      <c r="G8" s="23">
        <v>25.1035</v>
      </c>
      <c r="H8" s="23">
        <v>0</v>
      </c>
    </row>
    <row r="9" spans="1:8" x14ac:dyDescent="0.2">
      <c r="A9" s="10" t="s">
        <v>194</v>
      </c>
      <c r="B9" s="23">
        <v>115.95115149999999</v>
      </c>
      <c r="C9" s="23">
        <v>17.880251250000001</v>
      </c>
      <c r="D9" s="23">
        <v>2.5674999999999999</v>
      </c>
      <c r="E9" s="23">
        <v>2.0687500000000001</v>
      </c>
      <c r="F9" s="23">
        <v>3.8605</v>
      </c>
      <c r="G9" s="23">
        <v>22.521652</v>
      </c>
      <c r="H9" s="23">
        <v>5.1249999999999997E-2</v>
      </c>
    </row>
    <row r="10" spans="1:8" x14ac:dyDescent="0.2">
      <c r="A10" s="10" t="s">
        <v>195</v>
      </c>
      <c r="B10" s="23">
        <v>100.25974375</v>
      </c>
      <c r="C10" s="23">
        <v>16.847925</v>
      </c>
      <c r="D10" s="23">
        <v>1.96875</v>
      </c>
      <c r="E10" s="23">
        <v>1.81525</v>
      </c>
      <c r="F10" s="23">
        <v>7.10825</v>
      </c>
      <c r="G10" s="23">
        <v>19.9457375</v>
      </c>
      <c r="H10" s="23">
        <v>2.5000000000000001E-2</v>
      </c>
    </row>
    <row r="11" spans="1:8" x14ac:dyDescent="0.2">
      <c r="A11" s="10" t="s">
        <v>196</v>
      </c>
      <c r="B11" s="23">
        <v>121.0060775</v>
      </c>
      <c r="C11" s="23">
        <v>6.7338959999999997</v>
      </c>
      <c r="D11" s="23">
        <v>2.35</v>
      </c>
      <c r="E11" s="23">
        <v>3.8445</v>
      </c>
      <c r="F11" s="23">
        <v>2.3250000000000002</v>
      </c>
      <c r="G11" s="23">
        <v>10.268000000000001</v>
      </c>
      <c r="H11" s="23">
        <v>0</v>
      </c>
    </row>
    <row r="12" spans="1:8" x14ac:dyDescent="0.2">
      <c r="A12" s="10" t="s">
        <v>197</v>
      </c>
      <c r="B12" s="23">
        <v>141.13082499999999</v>
      </c>
      <c r="C12" s="23">
        <v>19.914770000000001</v>
      </c>
      <c r="D12" s="23">
        <v>1.754</v>
      </c>
      <c r="E12" s="23">
        <v>6.0212500000000002</v>
      </c>
      <c r="F12" s="23">
        <v>1.92275</v>
      </c>
      <c r="G12" s="23">
        <v>31.618040000000001</v>
      </c>
      <c r="H12" s="23">
        <v>8.7500000000000008E-3</v>
      </c>
    </row>
    <row r="13" spans="1:8" x14ac:dyDescent="0.2">
      <c r="A13" s="10" t="s">
        <v>198</v>
      </c>
      <c r="B13" s="23">
        <v>109.45514774999999</v>
      </c>
      <c r="C13" s="23">
        <v>29.808019999999999</v>
      </c>
      <c r="D13" s="23">
        <v>2.585</v>
      </c>
      <c r="E13" s="23">
        <v>6.8387500000000001</v>
      </c>
      <c r="F13" s="23">
        <v>5.4114387500000003</v>
      </c>
      <c r="G13" s="23">
        <v>23.427499999999998</v>
      </c>
      <c r="H13" s="23">
        <v>1.8499999999999999E-2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3" width="10" customWidth="1"/>
    <col min="4" max="4" width="12" customWidth="1"/>
  </cols>
  <sheetData>
    <row r="1" spans="1:4" x14ac:dyDescent="0.2">
      <c r="A1" s="57" t="s">
        <v>199</v>
      </c>
      <c r="B1" s="54"/>
      <c r="C1" s="54"/>
      <c r="D1" s="54"/>
    </row>
    <row r="3" spans="1:4" ht="16" x14ac:dyDescent="0.2">
      <c r="A3" s="1" t="s">
        <v>24</v>
      </c>
      <c r="B3" s="1" t="s">
        <v>25</v>
      </c>
      <c r="C3" s="1" t="s">
        <v>200</v>
      </c>
      <c r="D3" s="1" t="s">
        <v>201</v>
      </c>
    </row>
    <row r="4" spans="1:4" x14ac:dyDescent="0.2">
      <c r="A4" s="10" t="s">
        <v>28</v>
      </c>
      <c r="B4" s="10" t="s">
        <v>202</v>
      </c>
      <c r="C4" s="10" t="s">
        <v>203</v>
      </c>
      <c r="D4" s="10" t="s">
        <v>29</v>
      </c>
    </row>
    <row r="5" spans="1:4" x14ac:dyDescent="0.2">
      <c r="A5" s="10" t="s">
        <v>30</v>
      </c>
      <c r="B5" s="10" t="s">
        <v>204</v>
      </c>
      <c r="C5" s="10" t="s">
        <v>205</v>
      </c>
      <c r="D5" s="10" t="s">
        <v>31</v>
      </c>
    </row>
    <row r="6" spans="1:4" x14ac:dyDescent="0.2">
      <c r="A6" s="10" t="s">
        <v>32</v>
      </c>
      <c r="B6" s="10" t="s">
        <v>204</v>
      </c>
      <c r="C6" s="10" t="s">
        <v>206</v>
      </c>
      <c r="D6" s="10" t="s">
        <v>33</v>
      </c>
    </row>
    <row r="7" spans="1:4" x14ac:dyDescent="0.2">
      <c r="A7" s="10" t="s">
        <v>34</v>
      </c>
      <c r="B7" s="10" t="s">
        <v>204</v>
      </c>
      <c r="C7" s="10" t="s">
        <v>207</v>
      </c>
      <c r="D7" s="10" t="s">
        <v>31</v>
      </c>
    </row>
    <row r="8" spans="1:4" x14ac:dyDescent="0.2">
      <c r="A8" s="10" t="s">
        <v>35</v>
      </c>
      <c r="B8" s="10" t="s">
        <v>204</v>
      </c>
      <c r="C8" s="10" t="s">
        <v>208</v>
      </c>
      <c r="D8" s="10" t="s">
        <v>31</v>
      </c>
    </row>
    <row r="9" spans="1:4" x14ac:dyDescent="0.2">
      <c r="A9" s="10" t="s">
        <v>36</v>
      </c>
      <c r="B9" s="10" t="s">
        <v>209</v>
      </c>
      <c r="C9" s="10" t="s">
        <v>210</v>
      </c>
      <c r="D9" s="10" t="s">
        <v>31</v>
      </c>
    </row>
    <row r="10" spans="1:4" x14ac:dyDescent="0.2">
      <c r="A10" s="10" t="s">
        <v>37</v>
      </c>
      <c r="B10" s="10" t="s">
        <v>204</v>
      </c>
      <c r="C10" s="10" t="s">
        <v>211</v>
      </c>
      <c r="D10" s="10" t="s">
        <v>31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rightToLeft="1" workbookViewId="0"/>
  </sheetViews>
  <sheetFormatPr baseColWidth="10" defaultColWidth="8.83203125" defaultRowHeight="15" x14ac:dyDescent="0.2"/>
  <cols>
    <col min="1" max="1" width="40" customWidth="1"/>
    <col min="2" max="6" width="20" customWidth="1"/>
  </cols>
  <sheetData>
    <row r="1" spans="1:6" ht="16" x14ac:dyDescent="0.2">
      <c r="A1" s="61" t="s">
        <v>212</v>
      </c>
      <c r="B1" s="54"/>
      <c r="C1" s="54"/>
      <c r="D1" s="54"/>
      <c r="E1" s="54"/>
      <c r="F1" s="54"/>
    </row>
    <row r="3" spans="1:6" ht="16" x14ac:dyDescent="0.2">
      <c r="A3" s="1" t="s">
        <v>43</v>
      </c>
      <c r="B3" s="1" t="s">
        <v>28</v>
      </c>
      <c r="C3" s="1" t="s">
        <v>213</v>
      </c>
      <c r="D3" s="1" t="s">
        <v>214</v>
      </c>
      <c r="E3" s="1" t="s">
        <v>47</v>
      </c>
      <c r="F3" s="1" t="s">
        <v>48</v>
      </c>
    </row>
    <row r="4" spans="1:6" x14ac:dyDescent="0.2">
      <c r="A4" s="10" t="s">
        <v>99</v>
      </c>
      <c r="B4" s="19">
        <v>99.344945351932537</v>
      </c>
      <c r="C4" s="19">
        <v>25.410025824332589</v>
      </c>
      <c r="D4" s="24">
        <v>81.131182101932538</v>
      </c>
      <c r="E4" s="24">
        <v>66.131182101932538</v>
      </c>
      <c r="F4" s="24">
        <v>46.132781726932542</v>
      </c>
    </row>
    <row r="5" spans="1:6" x14ac:dyDescent="0.2">
      <c r="A5" s="10" t="s">
        <v>100</v>
      </c>
      <c r="B5" s="19">
        <v>129.51381295682049</v>
      </c>
      <c r="C5" s="19">
        <v>43.821987162994652</v>
      </c>
      <c r="D5" s="24">
        <v>108.9860211443206</v>
      </c>
      <c r="E5" s="24">
        <v>93.98602114432056</v>
      </c>
      <c r="F5" s="24">
        <v>73.987620769320557</v>
      </c>
    </row>
    <row r="6" spans="1:6" x14ac:dyDescent="0.2">
      <c r="A6" s="10" t="s">
        <v>101</v>
      </c>
      <c r="B6" s="19">
        <v>119.13901719254309</v>
      </c>
      <c r="C6" s="19">
        <v>50.254706970656677</v>
      </c>
      <c r="D6" s="24">
        <v>92.410454130043036</v>
      </c>
      <c r="E6" s="24">
        <v>77.410454130043036</v>
      </c>
      <c r="F6" s="24">
        <v>57.412053755043033</v>
      </c>
    </row>
    <row r="7" spans="1:6" x14ac:dyDescent="0.2">
      <c r="A7" s="10" t="s">
        <v>102</v>
      </c>
      <c r="B7" s="19">
        <v>121.5157975242269</v>
      </c>
      <c r="C7" s="19">
        <v>51.499012968070417</v>
      </c>
      <c r="D7" s="24">
        <v>91.123308586726921</v>
      </c>
      <c r="E7" s="24">
        <v>76.123308586726921</v>
      </c>
      <c r="F7" s="24">
        <v>56.124908211726918</v>
      </c>
    </row>
    <row r="8" spans="1:6" x14ac:dyDescent="0.2">
      <c r="A8" s="10" t="s">
        <v>103</v>
      </c>
      <c r="B8" s="19">
        <v>105.0713387814512</v>
      </c>
      <c r="C8" s="19">
        <v>50.622416076789769</v>
      </c>
      <c r="D8" s="24">
        <v>73.141387531451244</v>
      </c>
      <c r="E8" s="24">
        <v>58.141387531451237</v>
      </c>
      <c r="F8" s="24">
        <v>38.142987156451241</v>
      </c>
    </row>
    <row r="9" spans="1:6" x14ac:dyDescent="0.2">
      <c r="A9" s="10" t="s">
        <v>104</v>
      </c>
      <c r="B9" s="19">
        <v>126.81331597376079</v>
      </c>
      <c r="C9" s="19">
        <v>27.164224753833238</v>
      </c>
      <c r="D9" s="24">
        <v>109.27191057376081</v>
      </c>
      <c r="E9" s="24">
        <v>94.271910573760834</v>
      </c>
      <c r="F9" s="24">
        <v>74.273510198760832</v>
      </c>
    </row>
    <row r="10" spans="1:6" x14ac:dyDescent="0.2">
      <c r="A10" s="10" t="s">
        <v>105</v>
      </c>
      <c r="B10" s="19">
        <v>147.90387618640511</v>
      </c>
      <c r="C10" s="19">
        <v>63.696096582223753</v>
      </c>
      <c r="D10" s="24">
        <v>113.83912818640511</v>
      </c>
      <c r="E10" s="24">
        <v>98.839128186405148</v>
      </c>
      <c r="F10" s="24">
        <v>78.840727811405145</v>
      </c>
    </row>
    <row r="11" spans="1:6" x14ac:dyDescent="0.2">
      <c r="A11" s="10" t="s">
        <v>106</v>
      </c>
      <c r="B11" s="19">
        <v>114.70804213594501</v>
      </c>
      <c r="C11" s="19">
        <v>73.316418939781684</v>
      </c>
      <c r="D11" s="24">
        <v>63.347077073445007</v>
      </c>
      <c r="E11" s="24">
        <v>48.347077073445007</v>
      </c>
      <c r="F11" s="24">
        <v>28.348676698445011</v>
      </c>
    </row>
    <row r="12" spans="1:6" x14ac:dyDescent="0.2">
      <c r="A12" s="10" t="s">
        <v>107</v>
      </c>
      <c r="B12" s="19">
        <v>114.829409745928</v>
      </c>
      <c r="C12" s="19">
        <v>55.371997583168188</v>
      </c>
      <c r="D12" s="24">
        <v>90.03830659592802</v>
      </c>
      <c r="E12" s="24">
        <v>75.03830659592802</v>
      </c>
      <c r="F12" s="24">
        <v>55.039906220928017</v>
      </c>
    </row>
    <row r="13" spans="1:6" x14ac:dyDescent="0.2">
      <c r="A13" s="10" t="s">
        <v>108</v>
      </c>
      <c r="B13" s="19">
        <v>104.46521729558479</v>
      </c>
      <c r="C13" s="19">
        <v>55.647265829676037</v>
      </c>
      <c r="D13" s="24">
        <v>64.856374208084844</v>
      </c>
      <c r="E13" s="24">
        <v>49.856374208084837</v>
      </c>
      <c r="F13" s="24">
        <v>29.857973833084841</v>
      </c>
    </row>
    <row r="14" spans="1:6" x14ac:dyDescent="0.2">
      <c r="A14" s="10" t="s">
        <v>109</v>
      </c>
      <c r="B14" s="19">
        <v>108.343519208402</v>
      </c>
      <c r="C14" s="19">
        <v>39.782295103372093</v>
      </c>
      <c r="D14" s="24">
        <v>78.219772908402049</v>
      </c>
      <c r="E14" s="24">
        <v>63.219772908402049</v>
      </c>
      <c r="F14" s="24">
        <v>43.221372533402047</v>
      </c>
    </row>
    <row r="15" spans="1:6" x14ac:dyDescent="0.2">
      <c r="A15" s="10" t="s">
        <v>110</v>
      </c>
      <c r="B15" s="19">
        <v>99.780185569050943</v>
      </c>
      <c r="C15" s="19">
        <v>43.308911402721783</v>
      </c>
      <c r="D15" s="24">
        <v>70.070019806550945</v>
      </c>
      <c r="E15" s="24">
        <v>55.070019806550953</v>
      </c>
      <c r="F15" s="24">
        <v>35.071619431550943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2"/>
  <sheetViews>
    <sheetView rightToLeft="1" workbookViewId="0">
      <selection sqref="A1:Q1"/>
    </sheetView>
  </sheetViews>
  <sheetFormatPr baseColWidth="10" defaultColWidth="8.83203125" defaultRowHeight="15" x14ac:dyDescent="0.2"/>
  <cols>
    <col min="1" max="1" width="22" customWidth="1"/>
    <col min="2" max="5" width="20" customWidth="1"/>
    <col min="6" max="6" width="22" customWidth="1"/>
    <col min="7" max="7" width="13" customWidth="1"/>
    <col min="8" max="8" width="20" customWidth="1"/>
    <col min="9" max="10" width="19" customWidth="1"/>
    <col min="11" max="11" width="21" customWidth="1"/>
    <col min="12" max="12" width="20" customWidth="1"/>
    <col min="13" max="13" width="19" customWidth="1"/>
    <col min="14" max="14" width="20" customWidth="1"/>
    <col min="15" max="15" width="22" customWidth="1"/>
    <col min="16" max="16" width="19" customWidth="1"/>
    <col min="17" max="17" width="20" customWidth="1"/>
    <col min="18" max="18" width="22" customWidth="1"/>
    <col min="19" max="19" width="20" customWidth="1"/>
    <col min="20" max="22" width="22" customWidth="1"/>
    <col min="23" max="23" width="20" customWidth="1"/>
    <col min="24" max="24" width="19" customWidth="1"/>
  </cols>
  <sheetData>
    <row r="1" spans="1:24" ht="19" x14ac:dyDescent="0.25">
      <c r="A1" s="60" t="s">
        <v>215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24" x14ac:dyDescent="0.2">
      <c r="A2" s="55" t="s">
        <v>216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4" spans="1:24" ht="16" x14ac:dyDescent="0.2">
      <c r="A4" s="1" t="s">
        <v>43</v>
      </c>
      <c r="B4" s="1" t="s">
        <v>217</v>
      </c>
      <c r="C4" s="1" t="s">
        <v>32</v>
      </c>
      <c r="D4" s="1" t="s">
        <v>34</v>
      </c>
      <c r="E4" s="1" t="s">
        <v>35</v>
      </c>
      <c r="F4" s="1" t="s">
        <v>37</v>
      </c>
      <c r="G4" s="1" t="s">
        <v>218</v>
      </c>
      <c r="H4" s="1" t="s">
        <v>219</v>
      </c>
      <c r="I4" s="1" t="s">
        <v>118</v>
      </c>
      <c r="J4" s="1" t="s">
        <v>119</v>
      </c>
      <c r="K4" s="1" t="s">
        <v>120</v>
      </c>
      <c r="L4" s="1" t="s">
        <v>121</v>
      </c>
      <c r="M4" s="1" t="s">
        <v>122</v>
      </c>
      <c r="N4" s="1" t="s">
        <v>123</v>
      </c>
      <c r="O4" s="1" t="s">
        <v>124</v>
      </c>
      <c r="P4" s="1" t="s">
        <v>125</v>
      </c>
      <c r="Q4" s="1" t="s">
        <v>126</v>
      </c>
      <c r="R4" s="1" t="s">
        <v>127</v>
      </c>
      <c r="S4" s="1" t="s">
        <v>128</v>
      </c>
      <c r="T4" s="1" t="s">
        <v>129</v>
      </c>
      <c r="U4" s="1" t="s">
        <v>130</v>
      </c>
      <c r="V4" s="1" t="s">
        <v>131</v>
      </c>
      <c r="W4" s="1" t="s">
        <v>220</v>
      </c>
      <c r="X4" s="1" t="s">
        <v>221</v>
      </c>
    </row>
    <row r="5" spans="1:24" x14ac:dyDescent="0.2">
      <c r="A5" s="25" t="s">
        <v>132</v>
      </c>
      <c r="I5" s="26">
        <v>5</v>
      </c>
      <c r="J5" s="26">
        <v>3</v>
      </c>
      <c r="K5" s="26">
        <v>0</v>
      </c>
      <c r="L5" s="26">
        <v>15</v>
      </c>
      <c r="M5" s="26">
        <v>3</v>
      </c>
      <c r="N5" s="26">
        <v>3</v>
      </c>
      <c r="O5" s="26">
        <v>2</v>
      </c>
      <c r="P5" s="26">
        <v>3</v>
      </c>
      <c r="Q5" s="26">
        <v>4</v>
      </c>
      <c r="R5" s="26">
        <v>5</v>
      </c>
      <c r="S5" s="26">
        <v>40</v>
      </c>
      <c r="T5" s="26">
        <v>15</v>
      </c>
      <c r="U5" s="26">
        <v>5</v>
      </c>
      <c r="V5" s="26">
        <v>7</v>
      </c>
    </row>
    <row r="6" spans="1:24" x14ac:dyDescent="0.2">
      <c r="A6" s="10" t="s">
        <v>99</v>
      </c>
      <c r="B6" s="11">
        <v>99.344945351932537</v>
      </c>
      <c r="C6" s="11">
        <v>2.38625</v>
      </c>
      <c r="D6" s="11">
        <v>2.3474374999999998</v>
      </c>
      <c r="E6" s="11">
        <v>0.8622527499999999</v>
      </c>
      <c r="F6" s="11">
        <v>5.4624999999999993E-2</v>
      </c>
      <c r="G6" s="11">
        <v>15</v>
      </c>
      <c r="H6" s="24">
        <v>78.694380101932538</v>
      </c>
      <c r="I6" s="12">
        <v>5</v>
      </c>
      <c r="J6" s="12">
        <v>3</v>
      </c>
      <c r="K6" s="24">
        <v>0.17960626850433009</v>
      </c>
      <c r="L6" s="24">
        <v>8.1307728553076384</v>
      </c>
      <c r="M6" s="12">
        <v>3</v>
      </c>
      <c r="N6" s="12">
        <v>2.9834159575589618</v>
      </c>
      <c r="O6" s="24">
        <v>0.88658906972760831</v>
      </c>
      <c r="P6" s="12">
        <v>3</v>
      </c>
      <c r="Q6" s="24">
        <v>1.706522595470088</v>
      </c>
      <c r="R6" s="12">
        <v>5</v>
      </c>
      <c r="S6" s="24">
        <v>26.003525952972211</v>
      </c>
      <c r="T6" s="24">
        <v>6.3608318304930256</v>
      </c>
      <c r="U6" s="12">
        <v>5</v>
      </c>
      <c r="V6" s="24">
        <v>4.1814630102878771</v>
      </c>
      <c r="W6" s="11">
        <v>74.432727540321736</v>
      </c>
      <c r="X6" s="11">
        <v>4.2616525616108021</v>
      </c>
    </row>
    <row r="7" spans="1:24" x14ac:dyDescent="0.2">
      <c r="A7" s="10" t="s">
        <v>100</v>
      </c>
      <c r="B7" s="11">
        <v>129.51381295682049</v>
      </c>
      <c r="C7" s="11">
        <v>2.7829999999999999</v>
      </c>
      <c r="D7" s="11">
        <v>4.4904624999999996</v>
      </c>
      <c r="E7" s="11">
        <v>5.3192329999999997</v>
      </c>
      <c r="F7" s="11">
        <v>0</v>
      </c>
      <c r="G7" s="11">
        <v>15</v>
      </c>
      <c r="H7" s="24">
        <v>101.9211174568206</v>
      </c>
      <c r="I7" s="12">
        <v>5</v>
      </c>
      <c r="J7" s="12">
        <v>3</v>
      </c>
      <c r="K7" s="24">
        <v>0.26653607728590151</v>
      </c>
      <c r="L7" s="24">
        <v>12.06048934927499</v>
      </c>
      <c r="M7" s="12">
        <v>3</v>
      </c>
      <c r="N7" s="12">
        <v>3</v>
      </c>
      <c r="O7" s="24">
        <v>1.299793679808114</v>
      </c>
      <c r="P7" s="12">
        <v>3</v>
      </c>
      <c r="Q7" s="24">
        <v>2.496306761834179</v>
      </c>
      <c r="R7" s="12">
        <v>5</v>
      </c>
      <c r="S7" s="24">
        <v>37.876696019704767</v>
      </c>
      <c r="T7" s="24">
        <v>8.6301848167833679</v>
      </c>
      <c r="U7" s="12">
        <v>5</v>
      </c>
      <c r="V7" s="24">
        <v>5.6274323148864527</v>
      </c>
      <c r="W7" s="11">
        <v>95.257439019577774</v>
      </c>
      <c r="X7" s="11">
        <v>6.6636784372427798</v>
      </c>
    </row>
    <row r="8" spans="1:24" x14ac:dyDescent="0.2">
      <c r="A8" s="10" t="s">
        <v>101</v>
      </c>
      <c r="B8" s="11">
        <v>119.13901719254309</v>
      </c>
      <c r="C8" s="11">
        <v>2.7303875</v>
      </c>
      <c r="D8" s="11">
        <v>11.131425</v>
      </c>
      <c r="E8" s="11">
        <v>7.7186622874999999</v>
      </c>
      <c r="F8" s="11">
        <v>0</v>
      </c>
      <c r="G8" s="11">
        <v>15</v>
      </c>
      <c r="H8" s="24">
        <v>82.558542405043056</v>
      </c>
      <c r="I8" s="12">
        <v>5</v>
      </c>
      <c r="J8" s="12">
        <v>3</v>
      </c>
      <c r="K8" s="24">
        <v>0.19202684984535179</v>
      </c>
      <c r="L8" s="24">
        <v>8.6926620390140776</v>
      </c>
      <c r="M8" s="12">
        <v>3</v>
      </c>
      <c r="N8" s="12">
        <v>3</v>
      </c>
      <c r="O8" s="24">
        <v>0.94807762178660882</v>
      </c>
      <c r="P8" s="12">
        <v>3</v>
      </c>
      <c r="Q8" s="24">
        <v>1.824432351805364</v>
      </c>
      <c r="R8" s="12">
        <v>5</v>
      </c>
      <c r="S8" s="24">
        <v>27.787223879561839</v>
      </c>
      <c r="T8" s="24">
        <v>6.7454609640104461</v>
      </c>
      <c r="U8" s="12">
        <v>5</v>
      </c>
      <c r="V8" s="24">
        <v>4.4289591731490532</v>
      </c>
      <c r="W8" s="11">
        <v>77.618842879172746</v>
      </c>
      <c r="X8" s="11">
        <v>4.93969952587031</v>
      </c>
    </row>
    <row r="9" spans="1:24" x14ac:dyDescent="0.2">
      <c r="A9" s="10" t="s">
        <v>102</v>
      </c>
      <c r="B9" s="11">
        <v>121.5157975242269</v>
      </c>
      <c r="C9" s="11">
        <v>2.9526249999999998</v>
      </c>
      <c r="D9" s="11">
        <v>2.3790624999999999</v>
      </c>
      <c r="E9" s="11">
        <v>4.4395749999999996</v>
      </c>
      <c r="F9" s="11">
        <v>5.893749999999999E-2</v>
      </c>
      <c r="G9" s="11">
        <v>15</v>
      </c>
      <c r="H9" s="24">
        <v>96.685597524226921</v>
      </c>
      <c r="I9" s="12">
        <v>5</v>
      </c>
      <c r="J9" s="12">
        <v>3</v>
      </c>
      <c r="K9" s="24">
        <v>0.24372546309578819</v>
      </c>
      <c r="L9" s="24">
        <v>11.02999321347929</v>
      </c>
      <c r="M9" s="12">
        <v>3</v>
      </c>
      <c r="N9" s="12">
        <v>3</v>
      </c>
      <c r="O9" s="24">
        <v>1.1965671877117989</v>
      </c>
      <c r="P9" s="12">
        <v>3</v>
      </c>
      <c r="Q9" s="24">
        <v>2.2996092112638449</v>
      </c>
      <c r="R9" s="12">
        <v>5</v>
      </c>
      <c r="S9" s="24">
        <v>34.937196660469603</v>
      </c>
      <c r="T9" s="24">
        <v>8.1370488047336273</v>
      </c>
      <c r="U9" s="12">
        <v>5</v>
      </c>
      <c r="V9" s="24">
        <v>5.3162087070146287</v>
      </c>
      <c r="W9" s="11">
        <v>90.160349247768565</v>
      </c>
      <c r="X9" s="11">
        <v>6.5252482764583561</v>
      </c>
    </row>
    <row r="10" spans="1:24" x14ac:dyDescent="0.2">
      <c r="A10" s="10" t="s">
        <v>103</v>
      </c>
      <c r="B10" s="11">
        <v>105.0713387814512</v>
      </c>
      <c r="C10" s="11">
        <v>2.2640625000000001</v>
      </c>
      <c r="D10" s="11">
        <v>2.0875374999999998</v>
      </c>
      <c r="E10" s="11">
        <v>8.1744874999999997</v>
      </c>
      <c r="F10" s="11">
        <v>2.8750000000000001E-2</v>
      </c>
      <c r="G10" s="11">
        <v>15</v>
      </c>
      <c r="H10" s="24">
        <v>77.516501281451227</v>
      </c>
      <c r="I10" s="12">
        <v>5</v>
      </c>
      <c r="J10" s="12">
        <v>3</v>
      </c>
      <c r="K10" s="24">
        <v>0.1758202112551617</v>
      </c>
      <c r="L10" s="24">
        <v>7.9594970865821386</v>
      </c>
      <c r="M10" s="12">
        <v>3</v>
      </c>
      <c r="N10" s="12">
        <v>2.922603843673484</v>
      </c>
      <c r="O10" s="24">
        <v>0.86872252074249046</v>
      </c>
      <c r="P10" s="12">
        <v>3</v>
      </c>
      <c r="Q10" s="24">
        <v>1.672246538046207</v>
      </c>
      <c r="R10" s="12">
        <v>5</v>
      </c>
      <c r="S10" s="24">
        <v>25.484559355718151</v>
      </c>
      <c r="T10" s="24">
        <v>6.2471177370496456</v>
      </c>
      <c r="U10" s="12">
        <v>5</v>
      </c>
      <c r="V10" s="24">
        <v>4.108079651581277</v>
      </c>
      <c r="W10" s="11">
        <v>73.438646944648553</v>
      </c>
      <c r="X10" s="11">
        <v>4.0778543368026732</v>
      </c>
    </row>
    <row r="11" spans="1:24" x14ac:dyDescent="0.2">
      <c r="A11" s="10" t="s">
        <v>104</v>
      </c>
      <c r="B11" s="11">
        <v>126.81331597376079</v>
      </c>
      <c r="C11" s="11">
        <v>2.7025000000000001</v>
      </c>
      <c r="D11" s="11">
        <v>4.4211749999999999</v>
      </c>
      <c r="E11" s="11">
        <v>2.6737500000000001</v>
      </c>
      <c r="F11" s="11">
        <v>0</v>
      </c>
      <c r="G11" s="11">
        <v>15</v>
      </c>
      <c r="H11" s="24">
        <v>102.0158909737608</v>
      </c>
      <c r="I11" s="12">
        <v>5</v>
      </c>
      <c r="J11" s="12">
        <v>3</v>
      </c>
      <c r="K11" s="24">
        <v>0.26687323938776703</v>
      </c>
      <c r="L11" s="24">
        <v>12.075735759290341</v>
      </c>
      <c r="M11" s="12">
        <v>3</v>
      </c>
      <c r="N11" s="12">
        <v>3</v>
      </c>
      <c r="O11" s="24">
        <v>1.301386356636985</v>
      </c>
      <c r="P11" s="12">
        <v>3</v>
      </c>
      <c r="Q11" s="24">
        <v>2.4993557839343028</v>
      </c>
      <c r="R11" s="12">
        <v>5</v>
      </c>
      <c r="S11" s="24">
        <v>37.922673717030356</v>
      </c>
      <c r="T11" s="24">
        <v>8.6395252112247913</v>
      </c>
      <c r="U11" s="12">
        <v>5</v>
      </c>
      <c r="V11" s="24">
        <v>5.6334146616516509</v>
      </c>
      <c r="W11" s="11">
        <v>95.338964729156189</v>
      </c>
      <c r="X11" s="11">
        <v>6.676926244604644</v>
      </c>
    </row>
    <row r="12" spans="1:24" x14ac:dyDescent="0.2">
      <c r="A12" s="10" t="s">
        <v>105</v>
      </c>
      <c r="B12" s="11">
        <v>147.90387618640511</v>
      </c>
      <c r="C12" s="11">
        <v>2.0171000000000001</v>
      </c>
      <c r="D12" s="11">
        <v>6.9244374999999998</v>
      </c>
      <c r="E12" s="11">
        <v>2.2111624999999999</v>
      </c>
      <c r="F12" s="11">
        <v>1.00625E-2</v>
      </c>
      <c r="G12" s="11">
        <v>15</v>
      </c>
      <c r="H12" s="24">
        <v>121.7411136864051</v>
      </c>
      <c r="I12" s="12">
        <v>5</v>
      </c>
      <c r="J12" s="12">
        <v>3</v>
      </c>
      <c r="K12" s="24">
        <v>0.3370468254724785</v>
      </c>
      <c r="L12" s="12">
        <v>15</v>
      </c>
      <c r="M12" s="12">
        <v>3</v>
      </c>
      <c r="N12" s="12">
        <v>3</v>
      </c>
      <c r="O12" s="24">
        <v>1.637426582740618</v>
      </c>
      <c r="P12" s="12">
        <v>3</v>
      </c>
      <c r="Q12" s="24">
        <v>3.1425834853382568</v>
      </c>
      <c r="R12" s="12">
        <v>5</v>
      </c>
      <c r="S12" s="12">
        <v>40</v>
      </c>
      <c r="T12" s="24">
        <v>11.69860615993287</v>
      </c>
      <c r="U12" s="12">
        <v>5</v>
      </c>
      <c r="V12" s="12">
        <v>7</v>
      </c>
      <c r="W12" s="11">
        <v>105.8156630534842</v>
      </c>
      <c r="X12" s="11">
        <v>15.925450632920899</v>
      </c>
    </row>
    <row r="13" spans="1:24" x14ac:dyDescent="0.2">
      <c r="A13" s="10" t="s">
        <v>106</v>
      </c>
      <c r="B13" s="11">
        <v>114.70804213594501</v>
      </c>
      <c r="C13" s="11">
        <v>2.97275</v>
      </c>
      <c r="D13" s="11">
        <v>7.8645624999999999</v>
      </c>
      <c r="E13" s="11">
        <v>6.2231545625000004</v>
      </c>
      <c r="F13" s="11">
        <v>2.1274999999999999E-2</v>
      </c>
      <c r="G13" s="11">
        <v>15</v>
      </c>
      <c r="H13" s="24">
        <v>82.626300073445023</v>
      </c>
      <c r="I13" s="12">
        <v>5</v>
      </c>
      <c r="J13" s="12">
        <v>3</v>
      </c>
      <c r="K13" s="24">
        <v>0.19224464339692879</v>
      </c>
      <c r="L13" s="24">
        <v>8.7025147051294702</v>
      </c>
      <c r="M13" s="12">
        <v>3</v>
      </c>
      <c r="N13" s="12">
        <v>3</v>
      </c>
      <c r="O13" s="24">
        <v>0.94916038811071157</v>
      </c>
      <c r="P13" s="12">
        <v>3</v>
      </c>
      <c r="Q13" s="24">
        <v>1.826508572208692</v>
      </c>
      <c r="R13" s="12">
        <v>5</v>
      </c>
      <c r="S13" s="24">
        <v>27.818629873779692</v>
      </c>
      <c r="T13" s="24">
        <v>6.7522237999674326</v>
      </c>
      <c r="U13" s="12">
        <v>5</v>
      </c>
      <c r="V13" s="24">
        <v>4.4333097289077621</v>
      </c>
      <c r="W13" s="11">
        <v>77.674591711500682</v>
      </c>
      <c r="X13" s="11">
        <v>4.9517083619443412</v>
      </c>
    </row>
    <row r="14" spans="1:24" x14ac:dyDescent="0.2">
      <c r="A14" s="10" t="s">
        <v>107</v>
      </c>
      <c r="B14" s="11">
        <v>114.829409745928</v>
      </c>
      <c r="C14" s="11">
        <v>3.2306374999999998</v>
      </c>
      <c r="D14" s="11">
        <v>9.7255499999999984</v>
      </c>
      <c r="E14" s="11">
        <v>5.8928874999999996</v>
      </c>
      <c r="F14" s="11">
        <v>2.1562499999999998E-2</v>
      </c>
      <c r="G14" s="11">
        <v>15</v>
      </c>
      <c r="H14" s="24">
        <v>80.958772245928017</v>
      </c>
      <c r="I14" s="12">
        <v>5</v>
      </c>
      <c r="J14" s="12">
        <v>3</v>
      </c>
      <c r="K14" s="24">
        <v>0.186884706780545</v>
      </c>
      <c r="L14" s="24">
        <v>8.4600389040853265</v>
      </c>
      <c r="M14" s="12">
        <v>3</v>
      </c>
      <c r="N14" s="12">
        <v>3</v>
      </c>
      <c r="O14" s="24">
        <v>0.92251332337659975</v>
      </c>
      <c r="P14" s="12">
        <v>3</v>
      </c>
      <c r="Q14" s="24">
        <v>1.7754124323877409</v>
      </c>
      <c r="R14" s="12">
        <v>5</v>
      </c>
      <c r="S14" s="24">
        <v>27.045722975649429</v>
      </c>
      <c r="T14" s="24">
        <v>6.5857892484668428</v>
      </c>
      <c r="U14" s="12">
        <v>5</v>
      </c>
      <c r="V14" s="24">
        <v>4.3262418063550792</v>
      </c>
      <c r="W14" s="11">
        <v>76.302603397101578</v>
      </c>
      <c r="X14" s="11">
        <v>4.6561688488264394</v>
      </c>
    </row>
    <row r="15" spans="1:24" x14ac:dyDescent="0.2">
      <c r="A15" s="10" t="s">
        <v>108</v>
      </c>
      <c r="B15" s="11">
        <v>104.46521729558479</v>
      </c>
      <c r="C15" s="11">
        <v>3.4580499999999992</v>
      </c>
      <c r="D15" s="11">
        <v>4.0324749999999998</v>
      </c>
      <c r="E15" s="11">
        <v>2.48960625</v>
      </c>
      <c r="F15" s="11">
        <v>2.8750000000000001E-2</v>
      </c>
      <c r="G15" s="11">
        <v>15</v>
      </c>
      <c r="H15" s="24">
        <v>79.456336045584834</v>
      </c>
      <c r="I15" s="12">
        <v>5</v>
      </c>
      <c r="J15" s="12">
        <v>3</v>
      </c>
      <c r="K15" s="24">
        <v>0.18205542437151259</v>
      </c>
      <c r="L15" s="24">
        <v>8.2415691339355899</v>
      </c>
      <c r="M15" s="12">
        <v>3</v>
      </c>
      <c r="N15" s="12">
        <v>3</v>
      </c>
      <c r="O15" s="24">
        <v>0.89850441987959984</v>
      </c>
      <c r="P15" s="12">
        <v>3</v>
      </c>
      <c r="Q15" s="24">
        <v>1.7293750056665911</v>
      </c>
      <c r="R15" s="12">
        <v>5</v>
      </c>
      <c r="S15" s="24">
        <v>26.34933681400139</v>
      </c>
      <c r="T15" s="24">
        <v>6.4358323535736943</v>
      </c>
      <c r="U15" s="12">
        <v>5</v>
      </c>
      <c r="V15" s="24">
        <v>4.2297740172818257</v>
      </c>
      <c r="W15" s="11">
        <v>75.066447168710212</v>
      </c>
      <c r="X15" s="11">
        <v>4.3898888768746218</v>
      </c>
    </row>
    <row r="16" spans="1:24" x14ac:dyDescent="0.2">
      <c r="A16" s="10" t="s">
        <v>109</v>
      </c>
      <c r="B16" s="11">
        <v>108.343519208402</v>
      </c>
      <c r="C16" s="11">
        <v>4.1558124999999997</v>
      </c>
      <c r="D16" s="11">
        <v>3.4974374999999989</v>
      </c>
      <c r="E16" s="11">
        <v>2.7735124999999989</v>
      </c>
      <c r="F16" s="11">
        <v>2.0125000000000001E-2</v>
      </c>
      <c r="G16" s="11">
        <v>15</v>
      </c>
      <c r="H16" s="24">
        <v>82.896631708402026</v>
      </c>
      <c r="I16" s="12">
        <v>5</v>
      </c>
      <c r="J16" s="12">
        <v>3</v>
      </c>
      <c r="K16" s="24">
        <v>0.19311357068249649</v>
      </c>
      <c r="L16" s="24">
        <v>8.7418237221378252</v>
      </c>
      <c r="M16" s="12">
        <v>3</v>
      </c>
      <c r="N16" s="12">
        <v>3</v>
      </c>
      <c r="O16" s="24">
        <v>0.95348028278203711</v>
      </c>
      <c r="P16" s="12">
        <v>3</v>
      </c>
      <c r="Q16" s="24">
        <v>1.8347920339835739</v>
      </c>
      <c r="R16" s="12">
        <v>5</v>
      </c>
      <c r="S16" s="24">
        <v>27.94392984298754</v>
      </c>
      <c r="T16" s="24">
        <v>6.7792053733349276</v>
      </c>
      <c r="U16" s="12">
        <v>5</v>
      </c>
      <c r="V16" s="24">
        <v>4.4506670683641092</v>
      </c>
      <c r="W16" s="11">
        <v>77.897011894272509</v>
      </c>
      <c r="X16" s="11">
        <v>4.9996198141295167</v>
      </c>
    </row>
    <row r="17" spans="1:24" x14ac:dyDescent="0.2">
      <c r="A17" s="10" t="s">
        <v>110</v>
      </c>
      <c r="B17" s="11">
        <v>99.780185569050943</v>
      </c>
      <c r="C17" s="11">
        <v>1.5122500000000001</v>
      </c>
      <c r="D17" s="11">
        <v>3.6854624999999999</v>
      </c>
      <c r="E17" s="11">
        <v>1.4415249999999999</v>
      </c>
      <c r="F17" s="11">
        <v>0</v>
      </c>
      <c r="G17" s="11">
        <v>15</v>
      </c>
      <c r="H17" s="24">
        <v>78.14094806905095</v>
      </c>
      <c r="I17" s="12">
        <v>5</v>
      </c>
      <c r="J17" s="12">
        <v>3</v>
      </c>
      <c r="K17" s="24">
        <v>0.17782737128368301</v>
      </c>
      <c r="L17" s="24">
        <v>8.0502981110292957</v>
      </c>
      <c r="M17" s="12">
        <v>3</v>
      </c>
      <c r="N17" s="12">
        <v>2.9548430931638672</v>
      </c>
      <c r="O17" s="24">
        <v>0.87819438569604391</v>
      </c>
      <c r="P17" s="12">
        <v>3</v>
      </c>
      <c r="Q17" s="24">
        <v>1.6904178249203361</v>
      </c>
      <c r="R17" s="12">
        <v>5</v>
      </c>
      <c r="S17" s="24">
        <v>25.759686999489212</v>
      </c>
      <c r="T17" s="24">
        <v>6.3074027163877728</v>
      </c>
      <c r="U17" s="12">
        <v>5</v>
      </c>
      <c r="V17" s="24">
        <v>4.1469834860087351</v>
      </c>
      <c r="W17" s="11">
        <v>73.965653987978953</v>
      </c>
      <c r="X17" s="11">
        <v>4.1752940810719963</v>
      </c>
    </row>
    <row r="19" spans="1:24" x14ac:dyDescent="0.2">
      <c r="A19" s="27" t="s">
        <v>222</v>
      </c>
      <c r="B19" s="28">
        <v>1391.4284779220509</v>
      </c>
      <c r="C19" s="28">
        <v>33.165424999999999</v>
      </c>
      <c r="D19" s="28">
        <v>62.587024999999997</v>
      </c>
      <c r="E19" s="28">
        <v>50.219808850000007</v>
      </c>
      <c r="F19" s="28">
        <v>0.24408750000000001</v>
      </c>
      <c r="G19" s="28">
        <v>180</v>
      </c>
      <c r="H19" s="28">
        <v>1065.212131572051</v>
      </c>
      <c r="I19" s="28">
        <v>60</v>
      </c>
      <c r="J19" s="28">
        <v>36</v>
      </c>
      <c r="K19" s="28">
        <v>2.5937606513619449</v>
      </c>
      <c r="L19" s="28">
        <v>117.14539487926599</v>
      </c>
      <c r="M19" s="28">
        <v>36</v>
      </c>
      <c r="N19" s="28">
        <v>35.860862894396313</v>
      </c>
      <c r="O19" s="28">
        <v>12.740415818999219</v>
      </c>
      <c r="P19" s="28">
        <v>36</v>
      </c>
      <c r="Q19" s="28">
        <v>24.497562596859179</v>
      </c>
      <c r="R19" s="28">
        <v>60</v>
      </c>
      <c r="S19" s="28">
        <v>364.92918209136423</v>
      </c>
      <c r="T19" s="28">
        <v>89.319229015958442</v>
      </c>
      <c r="U19" s="28">
        <v>60</v>
      </c>
      <c r="V19" s="28">
        <v>57.882533625488463</v>
      </c>
      <c r="W19" s="28">
        <v>992.96894157369377</v>
      </c>
      <c r="X19" s="28">
        <v>72.24318999835738</v>
      </c>
    </row>
    <row r="21" spans="1:24" x14ac:dyDescent="0.2">
      <c r="A21" s="62" t="s">
        <v>223</v>
      </c>
      <c r="B21" s="54"/>
      <c r="C21" s="54"/>
      <c r="D21" s="54"/>
      <c r="E21" s="54"/>
      <c r="F21" s="54"/>
      <c r="G21" s="54"/>
      <c r="H21" s="54"/>
    </row>
    <row r="22" spans="1:24" x14ac:dyDescent="0.2">
      <c r="I22" s="29">
        <v>6.0424850655358657</v>
      </c>
      <c r="J22" s="29">
        <v>3.6254910393215192</v>
      </c>
      <c r="K22" s="29">
        <v>0.26121266665715209</v>
      </c>
      <c r="L22" s="29">
        <v>11.7974883175711</v>
      </c>
      <c r="M22" s="29">
        <v>3.6254910393215192</v>
      </c>
      <c r="N22" s="29">
        <v>3.6114788079436502</v>
      </c>
      <c r="O22" s="29">
        <v>1.283062871916995</v>
      </c>
      <c r="P22" s="29">
        <v>3.6254910393215192</v>
      </c>
      <c r="Q22" s="29">
        <v>2.46710260222586</v>
      </c>
      <c r="R22" s="29">
        <v>6.0424850655358657</v>
      </c>
      <c r="S22" s="29">
        <v>36.75131887942144</v>
      </c>
      <c r="T22" s="29">
        <v>8.9951684565684431</v>
      </c>
      <c r="U22" s="29">
        <v>6.0424850655358657</v>
      </c>
      <c r="V22" s="29">
        <v>5.8292390831231922</v>
      </c>
    </row>
  </sheetData>
  <mergeCells count="3">
    <mergeCell ref="A2:Q2"/>
    <mergeCell ref="A21:H21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42"/>
  <sheetViews>
    <sheetView rightToLeft="1" workbookViewId="0"/>
  </sheetViews>
  <sheetFormatPr baseColWidth="10" defaultColWidth="8.83203125" defaultRowHeight="15" x14ac:dyDescent="0.2"/>
  <cols>
    <col min="1" max="1" width="28" customWidth="1"/>
    <col min="2" max="2" width="26" customWidth="1"/>
    <col min="3" max="4" width="20" customWidth="1"/>
    <col min="5" max="5" width="24" customWidth="1"/>
    <col min="6" max="6" width="14" customWidth="1"/>
    <col min="7" max="7" width="19" customWidth="1"/>
    <col min="8" max="17" width="14" customWidth="1"/>
    <col min="18" max="19" width="28" customWidth="1"/>
    <col min="20" max="20" width="21" customWidth="1"/>
    <col min="21" max="21" width="28" customWidth="1"/>
  </cols>
  <sheetData>
    <row r="1" spans="1:21" ht="19" x14ac:dyDescent="0.25">
      <c r="A1" s="60" t="s">
        <v>224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21" ht="19" x14ac:dyDescent="0.25">
      <c r="A2" s="64" t="s">
        <v>225</v>
      </c>
      <c r="B2" s="54"/>
      <c r="C2" s="54"/>
      <c r="D2" s="54"/>
      <c r="E2" s="54"/>
      <c r="F2" s="30">
        <v>1350</v>
      </c>
      <c r="G2" s="25" t="s">
        <v>226</v>
      </c>
    </row>
    <row r="3" spans="1:21" x14ac:dyDescent="0.2">
      <c r="A3" s="65" t="s">
        <v>227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1" ht="16" x14ac:dyDescent="0.2">
      <c r="A5" s="1" t="s">
        <v>135</v>
      </c>
      <c r="B5" s="1" t="s">
        <v>228</v>
      </c>
      <c r="C5" s="1" t="s">
        <v>229</v>
      </c>
      <c r="D5" s="1" t="s">
        <v>230</v>
      </c>
      <c r="E5" s="1" t="s">
        <v>231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232</v>
      </c>
      <c r="S5" s="1" t="s">
        <v>233</v>
      </c>
      <c r="T5" s="1" t="s">
        <v>234</v>
      </c>
      <c r="U5" s="1" t="s">
        <v>235</v>
      </c>
    </row>
    <row r="6" spans="1:21" x14ac:dyDescent="0.2">
      <c r="A6" s="31" t="s">
        <v>118</v>
      </c>
      <c r="B6" s="16">
        <v>34.804050029999999</v>
      </c>
      <c r="C6" s="26">
        <v>3</v>
      </c>
      <c r="D6" s="32">
        <v>5</v>
      </c>
      <c r="E6" s="33">
        <v>0.80682297222222221</v>
      </c>
      <c r="F6" s="34">
        <v>3</v>
      </c>
      <c r="G6" s="34">
        <v>3</v>
      </c>
      <c r="H6" s="34">
        <v>3</v>
      </c>
      <c r="I6" s="34">
        <v>3</v>
      </c>
      <c r="J6" s="34">
        <v>3</v>
      </c>
      <c r="K6" s="34">
        <v>3</v>
      </c>
      <c r="L6" s="34">
        <v>3</v>
      </c>
      <c r="M6" s="34">
        <v>3</v>
      </c>
      <c r="N6" s="34">
        <v>3</v>
      </c>
      <c r="O6" s="34">
        <v>3</v>
      </c>
      <c r="P6" s="34">
        <v>3</v>
      </c>
      <c r="Q6" s="34">
        <v>3</v>
      </c>
      <c r="R6" s="35">
        <v>36</v>
      </c>
      <c r="S6" s="32">
        <v>60</v>
      </c>
      <c r="T6" s="36">
        <v>6.960810006</v>
      </c>
      <c r="U6" t="s">
        <v>236</v>
      </c>
    </row>
    <row r="7" spans="1:21" x14ac:dyDescent="0.2">
      <c r="A7" s="31" t="s">
        <v>119</v>
      </c>
      <c r="B7" s="16">
        <v>4.9385000000000003</v>
      </c>
      <c r="C7" s="26">
        <v>2</v>
      </c>
      <c r="D7" s="32">
        <v>3</v>
      </c>
      <c r="E7" s="37">
        <v>2.0092500000000002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5">
        <v>24</v>
      </c>
      <c r="S7" s="32">
        <v>36</v>
      </c>
      <c r="T7" s="36">
        <v>1.646166666666667</v>
      </c>
      <c r="U7" t="s">
        <v>237</v>
      </c>
    </row>
    <row r="8" spans="1:21" x14ac:dyDescent="0.2">
      <c r="A8" s="31" t="s">
        <v>120</v>
      </c>
      <c r="B8" t="s">
        <v>238</v>
      </c>
      <c r="E8" s="37">
        <v>7.6805555555555544E-2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35"/>
      <c r="S8" s="32"/>
      <c r="T8" t="s">
        <v>238</v>
      </c>
      <c r="U8" t="s">
        <v>239</v>
      </c>
    </row>
    <row r="9" spans="1:21" x14ac:dyDescent="0.2">
      <c r="A9" s="31" t="s">
        <v>121</v>
      </c>
      <c r="B9" s="16">
        <v>1.3400004400000001</v>
      </c>
      <c r="D9" s="32">
        <v>15</v>
      </c>
      <c r="E9" s="37">
        <v>1.686806361111111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35"/>
      <c r="S9" s="32">
        <v>180</v>
      </c>
      <c r="T9" s="36">
        <v>8.9333362666666666E-2</v>
      </c>
      <c r="U9" t="s">
        <v>237</v>
      </c>
    </row>
    <row r="10" spans="1:21" x14ac:dyDescent="0.2">
      <c r="A10" s="31" t="s">
        <v>122</v>
      </c>
      <c r="B10" s="16">
        <v>24.591675055</v>
      </c>
      <c r="C10" s="26">
        <v>3</v>
      </c>
      <c r="D10" s="32">
        <v>3</v>
      </c>
      <c r="E10" s="33">
        <v>1.3148307777777779</v>
      </c>
      <c r="F10" s="34">
        <v>3</v>
      </c>
      <c r="G10" s="34">
        <v>3</v>
      </c>
      <c r="H10" s="34">
        <v>3</v>
      </c>
      <c r="I10" s="34">
        <v>3</v>
      </c>
      <c r="J10" s="34">
        <v>3</v>
      </c>
      <c r="K10" s="34">
        <v>3</v>
      </c>
      <c r="L10" s="34">
        <v>3</v>
      </c>
      <c r="M10" s="34">
        <v>3</v>
      </c>
      <c r="N10" s="34">
        <v>3</v>
      </c>
      <c r="O10" s="34">
        <v>3</v>
      </c>
      <c r="P10" s="34">
        <v>3</v>
      </c>
      <c r="Q10" s="34">
        <v>3</v>
      </c>
      <c r="R10" s="35">
        <v>36</v>
      </c>
      <c r="S10" s="32">
        <v>36</v>
      </c>
      <c r="T10" s="36">
        <v>8.1972250183333344</v>
      </c>
      <c r="U10" t="s">
        <v>240</v>
      </c>
    </row>
    <row r="11" spans="1:21" x14ac:dyDescent="0.2">
      <c r="A11" s="31" t="s">
        <v>123</v>
      </c>
      <c r="B11" s="16">
        <v>1</v>
      </c>
      <c r="D11" s="32">
        <v>3</v>
      </c>
      <c r="E11" s="37">
        <v>0.61584722222222221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35"/>
      <c r="S11" s="32">
        <v>36</v>
      </c>
      <c r="T11" s="36">
        <v>0.33333333333333331</v>
      </c>
      <c r="U11" t="s">
        <v>237</v>
      </c>
    </row>
    <row r="12" spans="1:21" x14ac:dyDescent="0.2">
      <c r="A12" s="31" t="s">
        <v>124</v>
      </c>
      <c r="B12" s="16">
        <v>1.7200200000000001</v>
      </c>
      <c r="D12" s="32">
        <v>2</v>
      </c>
      <c r="E12" s="37">
        <v>0.19844444444444451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35"/>
      <c r="S12" s="32">
        <v>24</v>
      </c>
      <c r="T12" s="36">
        <v>0.86001000000000005</v>
      </c>
      <c r="U12" t="s">
        <v>237</v>
      </c>
    </row>
    <row r="13" spans="1:21" x14ac:dyDescent="0.2">
      <c r="A13" s="31" t="s">
        <v>125</v>
      </c>
      <c r="B13" s="16">
        <v>18.60211</v>
      </c>
      <c r="C13" s="26">
        <v>3</v>
      </c>
      <c r="D13" s="32">
        <v>3</v>
      </c>
      <c r="E13" s="33">
        <v>1.4444448194444439</v>
      </c>
      <c r="F13" s="34">
        <v>3</v>
      </c>
      <c r="G13" s="34">
        <v>3</v>
      </c>
      <c r="H13" s="34">
        <v>3</v>
      </c>
      <c r="I13" s="34">
        <v>3</v>
      </c>
      <c r="J13" s="34">
        <v>3</v>
      </c>
      <c r="K13" s="34">
        <v>3</v>
      </c>
      <c r="L13" s="34">
        <v>3</v>
      </c>
      <c r="M13" s="34">
        <v>3</v>
      </c>
      <c r="N13" s="34">
        <v>3</v>
      </c>
      <c r="O13" s="34">
        <v>3</v>
      </c>
      <c r="P13" s="34">
        <v>3</v>
      </c>
      <c r="Q13" s="34">
        <v>3</v>
      </c>
      <c r="R13" s="35">
        <v>36</v>
      </c>
      <c r="S13" s="32">
        <v>36</v>
      </c>
      <c r="T13" s="36">
        <v>6.2007033333333332</v>
      </c>
      <c r="U13" t="s">
        <v>241</v>
      </c>
    </row>
    <row r="14" spans="1:21" x14ac:dyDescent="0.2">
      <c r="A14" s="31" t="s">
        <v>126</v>
      </c>
      <c r="B14" s="16">
        <v>1.7509999999999999</v>
      </c>
      <c r="D14" s="32">
        <v>4</v>
      </c>
      <c r="E14" s="37">
        <v>0.27583333333333332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35"/>
      <c r="S14" s="32">
        <v>48</v>
      </c>
      <c r="T14" s="36">
        <v>0.43774999999999997</v>
      </c>
      <c r="U14" t="s">
        <v>237</v>
      </c>
    </row>
    <row r="15" spans="1:21" x14ac:dyDescent="0.2">
      <c r="A15" s="31" t="s">
        <v>127</v>
      </c>
      <c r="B15" s="15">
        <v>107.092176975</v>
      </c>
      <c r="D15" s="32">
        <v>5</v>
      </c>
      <c r="E15" s="37">
        <v>1.2533201249999999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35"/>
      <c r="S15" s="32">
        <v>60</v>
      </c>
      <c r="T15" s="38">
        <v>21.418435394999999</v>
      </c>
      <c r="U15" t="s">
        <v>242</v>
      </c>
    </row>
    <row r="16" spans="1:21" x14ac:dyDescent="0.2">
      <c r="A16" s="31" t="s">
        <v>128</v>
      </c>
      <c r="B16" s="15">
        <v>266.87452819499998</v>
      </c>
      <c r="C16" s="26">
        <v>30</v>
      </c>
      <c r="D16" s="32">
        <v>40</v>
      </c>
      <c r="E16" s="33">
        <v>4.2277252499999998</v>
      </c>
      <c r="F16" s="34">
        <v>30</v>
      </c>
      <c r="G16" s="34">
        <v>30</v>
      </c>
      <c r="H16" s="34">
        <v>30</v>
      </c>
      <c r="I16" s="34">
        <v>30</v>
      </c>
      <c r="J16" s="34">
        <v>30</v>
      </c>
      <c r="K16" s="34">
        <v>30</v>
      </c>
      <c r="L16" s="34">
        <v>30</v>
      </c>
      <c r="M16" s="34">
        <v>30</v>
      </c>
      <c r="N16" s="34">
        <v>30</v>
      </c>
      <c r="O16" s="34">
        <v>30</v>
      </c>
      <c r="P16" s="34">
        <v>30</v>
      </c>
      <c r="Q16" s="34">
        <v>30</v>
      </c>
      <c r="R16" s="35">
        <v>360</v>
      </c>
      <c r="S16" s="32">
        <v>480</v>
      </c>
      <c r="T16" s="36">
        <v>6.6718632048749997</v>
      </c>
      <c r="U16" t="s">
        <v>243</v>
      </c>
    </row>
    <row r="17" spans="1:21" x14ac:dyDescent="0.2">
      <c r="A17" s="31" t="s">
        <v>129</v>
      </c>
      <c r="B17" s="15">
        <v>153.23044049999999</v>
      </c>
      <c r="C17" s="26">
        <v>15</v>
      </c>
      <c r="D17" s="32">
        <v>15</v>
      </c>
      <c r="E17" s="33">
        <v>1.12664925</v>
      </c>
      <c r="F17" s="34">
        <v>15</v>
      </c>
      <c r="G17" s="34">
        <v>15</v>
      </c>
      <c r="H17" s="34">
        <v>15</v>
      </c>
      <c r="I17" s="34">
        <v>15</v>
      </c>
      <c r="J17" s="34">
        <v>15</v>
      </c>
      <c r="K17" s="34">
        <v>15</v>
      </c>
      <c r="L17" s="34">
        <v>15</v>
      </c>
      <c r="M17" s="34">
        <v>15</v>
      </c>
      <c r="N17" s="34">
        <v>15</v>
      </c>
      <c r="O17" s="34">
        <v>15</v>
      </c>
      <c r="P17" s="34">
        <v>15</v>
      </c>
      <c r="Q17" s="34">
        <v>15</v>
      </c>
      <c r="R17" s="35">
        <v>180</v>
      </c>
      <c r="S17" s="32">
        <v>180</v>
      </c>
      <c r="T17" s="36">
        <v>10.2153627</v>
      </c>
      <c r="U17" t="s">
        <v>244</v>
      </c>
    </row>
    <row r="18" spans="1:21" x14ac:dyDescent="0.2">
      <c r="A18" s="31" t="s">
        <v>130</v>
      </c>
      <c r="B18" s="15">
        <v>60.515149950000001</v>
      </c>
      <c r="C18" s="26">
        <v>3</v>
      </c>
      <c r="D18" s="32">
        <v>5</v>
      </c>
      <c r="E18" s="33">
        <v>1.2183435</v>
      </c>
      <c r="F18" s="34">
        <v>3</v>
      </c>
      <c r="G18" s="34">
        <v>3</v>
      </c>
      <c r="H18" s="34">
        <v>3</v>
      </c>
      <c r="I18" s="34">
        <v>3</v>
      </c>
      <c r="J18" s="34">
        <v>3</v>
      </c>
      <c r="K18" s="34">
        <v>3</v>
      </c>
      <c r="L18" s="34">
        <v>3</v>
      </c>
      <c r="M18" s="34">
        <v>3</v>
      </c>
      <c r="N18" s="34">
        <v>3</v>
      </c>
      <c r="O18" s="34">
        <v>3</v>
      </c>
      <c r="P18" s="34">
        <v>3</v>
      </c>
      <c r="Q18" s="34">
        <v>3</v>
      </c>
      <c r="R18" s="35">
        <v>36</v>
      </c>
      <c r="S18" s="32">
        <v>60</v>
      </c>
      <c r="T18" s="38">
        <v>12.10302999</v>
      </c>
      <c r="U18" t="s">
        <v>245</v>
      </c>
    </row>
    <row r="19" spans="1:21" x14ac:dyDescent="0.2">
      <c r="A19" s="31" t="s">
        <v>131</v>
      </c>
      <c r="B19" s="16">
        <v>49.37274</v>
      </c>
      <c r="C19" s="26">
        <v>7</v>
      </c>
      <c r="D19" s="32">
        <v>7</v>
      </c>
      <c r="E19" s="33">
        <v>0.75024150000000001</v>
      </c>
      <c r="F19" s="34">
        <v>7</v>
      </c>
      <c r="G19" s="34">
        <v>7</v>
      </c>
      <c r="H19" s="34">
        <v>7</v>
      </c>
      <c r="I19" s="34">
        <v>7</v>
      </c>
      <c r="J19" s="34">
        <v>7</v>
      </c>
      <c r="K19" s="34">
        <v>7</v>
      </c>
      <c r="L19" s="34">
        <v>7</v>
      </c>
      <c r="M19" s="34">
        <v>7</v>
      </c>
      <c r="N19" s="34">
        <v>7</v>
      </c>
      <c r="O19" s="34">
        <v>7</v>
      </c>
      <c r="P19" s="34">
        <v>7</v>
      </c>
      <c r="Q19" s="34">
        <v>7</v>
      </c>
      <c r="R19" s="35">
        <v>84</v>
      </c>
      <c r="S19" s="32">
        <v>84</v>
      </c>
      <c r="T19" s="36">
        <v>7.0532485714285711</v>
      </c>
      <c r="U19" t="s">
        <v>236</v>
      </c>
    </row>
    <row r="20" spans="1:21" x14ac:dyDescent="0.2">
      <c r="A20" s="27" t="s">
        <v>246</v>
      </c>
      <c r="F20" s="28">
        <f t="shared" ref="F20:S20" si="0">SUM(F6:F19)</f>
        <v>66</v>
      </c>
      <c r="G20" s="28">
        <f t="shared" si="0"/>
        <v>66</v>
      </c>
      <c r="H20" s="28">
        <f t="shared" si="0"/>
        <v>66</v>
      </c>
      <c r="I20" s="28">
        <f t="shared" si="0"/>
        <v>66</v>
      </c>
      <c r="J20" s="28">
        <f t="shared" si="0"/>
        <v>66</v>
      </c>
      <c r="K20" s="28">
        <f t="shared" si="0"/>
        <v>66</v>
      </c>
      <c r="L20" s="28">
        <f t="shared" si="0"/>
        <v>66</v>
      </c>
      <c r="M20" s="28">
        <f t="shared" si="0"/>
        <v>66</v>
      </c>
      <c r="N20" s="28">
        <f t="shared" si="0"/>
        <v>66</v>
      </c>
      <c r="O20" s="28">
        <f t="shared" si="0"/>
        <v>66</v>
      </c>
      <c r="P20" s="28">
        <f t="shared" si="0"/>
        <v>66</v>
      </c>
      <c r="Q20" s="28">
        <f t="shared" si="0"/>
        <v>66</v>
      </c>
      <c r="R20" s="28">
        <f t="shared" si="0"/>
        <v>792</v>
      </c>
      <c r="S20" s="28">
        <f t="shared" si="0"/>
        <v>1320</v>
      </c>
    </row>
    <row r="22" spans="1:21" ht="16" x14ac:dyDescent="0.2">
      <c r="A22" s="66" t="s">
        <v>247</v>
      </c>
      <c r="B22" s="54"/>
      <c r="C22" s="54"/>
      <c r="D22" s="54"/>
      <c r="E22" s="54"/>
      <c r="F22" s="54"/>
    </row>
    <row r="23" spans="1:21" ht="16" x14ac:dyDescent="0.2">
      <c r="A23" s="1" t="s">
        <v>43</v>
      </c>
      <c r="B23" s="1" t="s">
        <v>248</v>
      </c>
      <c r="C23" s="1" t="s">
        <v>249</v>
      </c>
      <c r="D23" s="1" t="s">
        <v>250</v>
      </c>
      <c r="E23" s="1" t="s">
        <v>251</v>
      </c>
    </row>
    <row r="24" spans="1:21" x14ac:dyDescent="0.2">
      <c r="A24" t="s">
        <v>99</v>
      </c>
      <c r="B24" s="2">
        <v>66</v>
      </c>
      <c r="C24" s="2">
        <v>78.694380101932538</v>
      </c>
      <c r="D24" s="2">
        <v>12.69438010193254</v>
      </c>
      <c r="E24" s="6" t="s">
        <v>252</v>
      </c>
    </row>
    <row r="25" spans="1:21" x14ac:dyDescent="0.2">
      <c r="A25" t="s">
        <v>100</v>
      </c>
      <c r="B25" s="2">
        <v>66</v>
      </c>
      <c r="C25" s="2">
        <v>101.9211174568206</v>
      </c>
      <c r="D25" s="2">
        <v>35.921117456820546</v>
      </c>
      <c r="E25" s="6" t="s">
        <v>252</v>
      </c>
    </row>
    <row r="26" spans="1:21" x14ac:dyDescent="0.2">
      <c r="A26" t="s">
        <v>101</v>
      </c>
      <c r="B26" s="2">
        <v>66</v>
      </c>
      <c r="C26" s="2">
        <v>82.558542405043056</v>
      </c>
      <c r="D26" s="2">
        <v>16.55854240504306</v>
      </c>
      <c r="E26" s="6" t="s">
        <v>252</v>
      </c>
    </row>
    <row r="27" spans="1:21" x14ac:dyDescent="0.2">
      <c r="A27" t="s">
        <v>102</v>
      </c>
      <c r="B27" s="2">
        <v>66</v>
      </c>
      <c r="C27" s="2">
        <v>96.685597524226921</v>
      </c>
      <c r="D27" s="2">
        <v>30.685597524226921</v>
      </c>
      <c r="E27" s="6" t="s">
        <v>252</v>
      </c>
    </row>
    <row r="28" spans="1:21" x14ac:dyDescent="0.2">
      <c r="A28" t="s">
        <v>103</v>
      </c>
      <c r="B28" s="2">
        <v>66</v>
      </c>
      <c r="C28" s="2">
        <v>77.516501281451227</v>
      </c>
      <c r="D28" s="2">
        <v>11.51650128145123</v>
      </c>
      <c r="E28" s="6" t="s">
        <v>252</v>
      </c>
    </row>
    <row r="29" spans="1:21" x14ac:dyDescent="0.2">
      <c r="A29" t="s">
        <v>104</v>
      </c>
      <c r="B29" s="2">
        <v>66</v>
      </c>
      <c r="C29" s="2">
        <v>102.0158909737608</v>
      </c>
      <c r="D29" s="2">
        <v>36.015890973760833</v>
      </c>
      <c r="E29" s="6" t="s">
        <v>252</v>
      </c>
    </row>
    <row r="30" spans="1:21" x14ac:dyDescent="0.2">
      <c r="A30" t="s">
        <v>105</v>
      </c>
      <c r="B30" s="2">
        <v>66</v>
      </c>
      <c r="C30" s="2">
        <v>121.7411136864051</v>
      </c>
      <c r="D30" s="2">
        <v>55.741113686405129</v>
      </c>
      <c r="E30" s="6" t="s">
        <v>252</v>
      </c>
    </row>
    <row r="31" spans="1:21" x14ac:dyDescent="0.2">
      <c r="A31" t="s">
        <v>106</v>
      </c>
      <c r="B31" s="2">
        <v>66</v>
      </c>
      <c r="C31" s="2">
        <v>82.626300073445023</v>
      </c>
      <c r="D31" s="2">
        <v>16.626300073445019</v>
      </c>
      <c r="E31" s="6" t="s">
        <v>252</v>
      </c>
    </row>
    <row r="32" spans="1:21" x14ac:dyDescent="0.2">
      <c r="A32" t="s">
        <v>107</v>
      </c>
      <c r="B32" s="2">
        <v>66</v>
      </c>
      <c r="C32" s="2">
        <v>80.958772245928017</v>
      </c>
      <c r="D32" s="2">
        <v>14.958772245928021</v>
      </c>
      <c r="E32" s="6" t="s">
        <v>252</v>
      </c>
    </row>
    <row r="33" spans="1:5" x14ac:dyDescent="0.2">
      <c r="A33" t="s">
        <v>108</v>
      </c>
      <c r="B33" s="2">
        <v>66</v>
      </c>
      <c r="C33" s="2">
        <v>79.456336045584834</v>
      </c>
      <c r="D33" s="2">
        <v>13.45633604558483</v>
      </c>
      <c r="E33" s="6" t="s">
        <v>252</v>
      </c>
    </row>
    <row r="34" spans="1:5" x14ac:dyDescent="0.2">
      <c r="A34" t="s">
        <v>109</v>
      </c>
      <c r="B34" s="2">
        <v>66</v>
      </c>
      <c r="C34" s="2">
        <v>82.896631708402026</v>
      </c>
      <c r="D34" s="2">
        <v>16.89663170840203</v>
      </c>
      <c r="E34" s="6" t="s">
        <v>252</v>
      </c>
    </row>
    <row r="35" spans="1:5" x14ac:dyDescent="0.2">
      <c r="A35" t="s">
        <v>110</v>
      </c>
      <c r="B35" s="2">
        <v>66</v>
      </c>
      <c r="C35" s="2">
        <v>78.14094806905095</v>
      </c>
      <c r="D35" s="2">
        <v>12.14094806905095</v>
      </c>
      <c r="E35" s="6" t="s">
        <v>252</v>
      </c>
    </row>
    <row r="38" spans="1:5" ht="16" x14ac:dyDescent="0.2">
      <c r="A38" s="63" t="s">
        <v>253</v>
      </c>
      <c r="B38" s="54"/>
      <c r="C38" s="54"/>
      <c r="D38" s="54"/>
      <c r="E38" s="54"/>
    </row>
    <row r="39" spans="1:5" x14ac:dyDescent="0.2">
      <c r="A39" s="31" t="s">
        <v>254</v>
      </c>
      <c r="B39" s="35">
        <v>792</v>
      </c>
    </row>
    <row r="40" spans="1:5" x14ac:dyDescent="0.2">
      <c r="A40" s="31" t="s">
        <v>255</v>
      </c>
      <c r="B40" s="32">
        <v>1320</v>
      </c>
    </row>
    <row r="41" spans="1:5" x14ac:dyDescent="0.2">
      <c r="A41" s="31" t="s">
        <v>256</v>
      </c>
      <c r="B41" s="35">
        <v>725.83239114500009</v>
      </c>
    </row>
    <row r="42" spans="1:5" x14ac:dyDescent="0.2">
      <c r="A42" s="31" t="s">
        <v>257</v>
      </c>
      <c r="B42" s="32">
        <v>6.5984762831363648</v>
      </c>
    </row>
  </sheetData>
  <mergeCells count="5">
    <mergeCell ref="A38:E38"/>
    <mergeCell ref="A2:E2"/>
    <mergeCell ref="A1:S1"/>
    <mergeCell ref="A3:S3"/>
    <mergeCell ref="A22:F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"/>
  <sheetViews>
    <sheetView rightToLeft="1" workbookViewId="0"/>
  </sheetViews>
  <sheetFormatPr baseColWidth="10" defaultColWidth="8.83203125" defaultRowHeight="15" x14ac:dyDescent="0.2"/>
  <cols>
    <col min="1" max="2" width="45" customWidth="1"/>
    <col min="3" max="3" width="28" customWidth="1"/>
    <col min="4" max="4" width="45" customWidth="1"/>
    <col min="5" max="5" width="20" customWidth="1"/>
    <col min="6" max="7" width="21" customWidth="1"/>
    <col min="8" max="8" width="32" customWidth="1"/>
  </cols>
  <sheetData>
    <row r="1" spans="1:8" ht="19" x14ac:dyDescent="0.25">
      <c r="A1" s="60" t="s">
        <v>258</v>
      </c>
      <c r="B1" s="54"/>
      <c r="C1" s="54"/>
      <c r="D1" s="54"/>
      <c r="E1" s="54"/>
      <c r="F1" s="54"/>
      <c r="G1" s="54"/>
      <c r="H1" s="54"/>
    </row>
    <row r="2" spans="1:8" x14ac:dyDescent="0.2">
      <c r="A2" s="57" t="s">
        <v>259</v>
      </c>
      <c r="B2" s="54"/>
      <c r="C2" s="54"/>
      <c r="D2" s="54"/>
      <c r="E2" s="54"/>
      <c r="F2" s="54"/>
      <c r="G2" s="54"/>
      <c r="H2" s="54"/>
    </row>
    <row r="4" spans="1:8" ht="16" x14ac:dyDescent="0.2">
      <c r="A4" s="39" t="s">
        <v>260</v>
      </c>
      <c r="B4" s="39" t="s">
        <v>261</v>
      </c>
      <c r="C4" s="39" t="s">
        <v>262</v>
      </c>
      <c r="D4" s="39" t="s">
        <v>263</v>
      </c>
    </row>
    <row r="5" spans="1:8" ht="16" x14ac:dyDescent="0.2">
      <c r="A5" s="40" t="s">
        <v>264</v>
      </c>
      <c r="B5" s="40" t="s">
        <v>265</v>
      </c>
      <c r="C5" s="40" t="s">
        <v>266</v>
      </c>
      <c r="D5" s="40" t="s">
        <v>267</v>
      </c>
    </row>
    <row r="6" spans="1:8" ht="16" x14ac:dyDescent="0.2">
      <c r="A6" s="41" t="s">
        <v>268</v>
      </c>
      <c r="B6" s="41" t="s">
        <v>269</v>
      </c>
      <c r="C6" s="41" t="s">
        <v>270</v>
      </c>
      <c r="D6" s="41" t="s">
        <v>271</v>
      </c>
    </row>
    <row r="7" spans="1:8" ht="32" x14ac:dyDescent="0.2">
      <c r="A7" s="40" t="s">
        <v>272</v>
      </c>
      <c r="B7" s="40" t="s">
        <v>273</v>
      </c>
      <c r="C7" s="40" t="s">
        <v>274</v>
      </c>
      <c r="D7" s="40" t="s">
        <v>275</v>
      </c>
    </row>
    <row r="9" spans="1:8" x14ac:dyDescent="0.2">
      <c r="A9" s="62" t="s">
        <v>276</v>
      </c>
      <c r="B9" s="54"/>
      <c r="C9" s="54"/>
      <c r="D9" s="54"/>
      <c r="E9" s="54"/>
      <c r="F9" s="54"/>
      <c r="G9" s="54"/>
      <c r="H9" s="54"/>
    </row>
    <row r="10" spans="1:8" ht="16" x14ac:dyDescent="0.2">
      <c r="A10" s="1" t="s">
        <v>43</v>
      </c>
      <c r="B10" s="1" t="s">
        <v>277</v>
      </c>
      <c r="C10" s="1" t="s">
        <v>278</v>
      </c>
      <c r="D10" s="1" t="s">
        <v>279</v>
      </c>
      <c r="E10" s="1" t="s">
        <v>280</v>
      </c>
      <c r="F10" s="1" t="s">
        <v>281</v>
      </c>
      <c r="G10" s="1" t="s">
        <v>282</v>
      </c>
      <c r="H10" s="1" t="s">
        <v>235</v>
      </c>
    </row>
    <row r="11" spans="1:8" x14ac:dyDescent="0.2">
      <c r="A11" t="s">
        <v>87</v>
      </c>
      <c r="B11" s="2">
        <v>104.00178</v>
      </c>
      <c r="C11" s="2">
        <v>34.483220000000003</v>
      </c>
      <c r="D11" s="2">
        <v>34.483220000000003</v>
      </c>
      <c r="E11" s="2">
        <v>34.483220000000003</v>
      </c>
      <c r="F11" s="2">
        <v>69.518559999999994</v>
      </c>
      <c r="G11" s="2">
        <v>69.518559999999994</v>
      </c>
    </row>
    <row r="12" spans="1:8" x14ac:dyDescent="0.2">
      <c r="A12" t="s">
        <v>88</v>
      </c>
      <c r="B12" s="2">
        <v>102.478576</v>
      </c>
      <c r="C12" s="2">
        <v>182.322519</v>
      </c>
      <c r="D12" s="2">
        <v>60.701019000000002</v>
      </c>
      <c r="E12" s="2">
        <v>60.701019000000002</v>
      </c>
      <c r="F12" s="15">
        <v>-79.843942999999996</v>
      </c>
      <c r="G12" s="2">
        <v>41.777557000000002</v>
      </c>
      <c r="H12" t="s">
        <v>283</v>
      </c>
    </row>
    <row r="13" spans="1:8" x14ac:dyDescent="0.2">
      <c r="A13" t="s">
        <v>89</v>
      </c>
      <c r="B13" s="2">
        <v>116.36199999999999</v>
      </c>
      <c r="C13" s="2">
        <v>67.807672999999994</v>
      </c>
      <c r="D13" s="2">
        <v>67.807672999999994</v>
      </c>
      <c r="E13" s="2">
        <v>67.807672999999994</v>
      </c>
      <c r="F13" s="2">
        <v>48.554327000000001</v>
      </c>
      <c r="G13" s="2">
        <v>48.554327000000001</v>
      </c>
    </row>
    <row r="14" spans="1:8" x14ac:dyDescent="0.2">
      <c r="A14" t="s">
        <v>90</v>
      </c>
      <c r="B14" s="2">
        <v>112.748751</v>
      </c>
      <c r="C14" s="2">
        <v>76.764741000000001</v>
      </c>
      <c r="D14" s="2">
        <v>76.764741000000001</v>
      </c>
      <c r="E14" s="2">
        <v>76.764741000000001</v>
      </c>
      <c r="F14" s="2">
        <v>35.984009999999998</v>
      </c>
      <c r="G14" s="2">
        <v>35.984009999999998</v>
      </c>
    </row>
    <row r="15" spans="1:8" x14ac:dyDescent="0.2">
      <c r="A15" t="s">
        <v>91</v>
      </c>
      <c r="B15" s="2">
        <v>105.85688</v>
      </c>
      <c r="C15" s="2">
        <v>180.13979699999999</v>
      </c>
      <c r="D15" s="2">
        <v>92.958146999999997</v>
      </c>
      <c r="E15" s="2">
        <v>92.958146999999997</v>
      </c>
      <c r="F15" s="15">
        <v>-74.282916999999983</v>
      </c>
      <c r="G15" s="2">
        <v>12.898733000000011</v>
      </c>
      <c r="H15" t="s">
        <v>284</v>
      </c>
    </row>
    <row r="16" spans="1:8" x14ac:dyDescent="0.2">
      <c r="A16" t="s">
        <v>92</v>
      </c>
      <c r="B16" s="2">
        <v>119.2183</v>
      </c>
      <c r="C16" s="2">
        <v>43.690714</v>
      </c>
      <c r="D16" s="2">
        <v>43.690714</v>
      </c>
      <c r="E16" s="2">
        <v>43.690714</v>
      </c>
      <c r="F16" s="2">
        <v>75.527585999999999</v>
      </c>
      <c r="G16" s="2">
        <v>75.527585999999999</v>
      </c>
    </row>
    <row r="17" spans="1:8" x14ac:dyDescent="0.2">
      <c r="A17" t="s">
        <v>93</v>
      </c>
      <c r="B17" s="2">
        <v>150.30199999999999</v>
      </c>
      <c r="C17" s="2">
        <v>128.838753</v>
      </c>
      <c r="D17" s="2">
        <v>62.441702999999997</v>
      </c>
      <c r="E17" s="2">
        <v>62.441702999999997</v>
      </c>
      <c r="F17" s="2">
        <v>21.463246999999999</v>
      </c>
      <c r="G17" s="2">
        <v>87.860297000000003</v>
      </c>
      <c r="H17" t="s">
        <v>285</v>
      </c>
    </row>
    <row r="18" spans="1:8" x14ac:dyDescent="0.2">
      <c r="A18" t="s">
        <v>94</v>
      </c>
      <c r="B18" s="2">
        <v>107.2238</v>
      </c>
      <c r="C18" s="2">
        <v>100.617531</v>
      </c>
      <c r="D18" s="2">
        <v>100.617531</v>
      </c>
      <c r="E18" s="2">
        <v>100.617531</v>
      </c>
      <c r="F18" s="2">
        <v>6.6062689999999833</v>
      </c>
      <c r="G18" s="2">
        <v>6.6062689999999833</v>
      </c>
    </row>
    <row r="19" spans="1:8" x14ac:dyDescent="0.2">
      <c r="A19" t="s">
        <v>95</v>
      </c>
      <c r="B19" s="2">
        <v>100.98175000000001</v>
      </c>
      <c r="C19" s="2">
        <v>37.931738000000003</v>
      </c>
      <c r="D19" s="2">
        <v>37.931738000000003</v>
      </c>
      <c r="E19" s="2">
        <v>37.931738000000003</v>
      </c>
      <c r="F19" s="2">
        <v>63.050012000000009</v>
      </c>
      <c r="G19" s="2">
        <v>63.050012000000009</v>
      </c>
    </row>
    <row r="20" spans="1:8" x14ac:dyDescent="0.2">
      <c r="A20" t="s">
        <v>96</v>
      </c>
      <c r="B20" s="2">
        <v>89.150316000000004</v>
      </c>
      <c r="C20" s="2">
        <v>219.78789900000001</v>
      </c>
      <c r="D20" s="2">
        <v>103.72364899999999</v>
      </c>
      <c r="E20" s="2">
        <v>103.72364899999999</v>
      </c>
      <c r="F20" s="15">
        <v>-130.63758300000001</v>
      </c>
      <c r="G20" s="15">
        <v>-14.573332999999989</v>
      </c>
      <c r="H20" t="s">
        <v>286</v>
      </c>
    </row>
    <row r="21" spans="1:8" x14ac:dyDescent="0.2">
      <c r="A21" t="s">
        <v>97</v>
      </c>
      <c r="B21" s="2">
        <v>81.644750000000002</v>
      </c>
      <c r="C21" s="2">
        <v>53.889000000000003</v>
      </c>
      <c r="D21" s="2">
        <v>53.889000000000003</v>
      </c>
      <c r="E21" s="2">
        <v>53.889000000000003</v>
      </c>
      <c r="F21" s="2">
        <v>27.755749999999999</v>
      </c>
      <c r="G21" s="2">
        <v>27.755749999999999</v>
      </c>
    </row>
    <row r="22" spans="1:8" x14ac:dyDescent="0.2">
      <c r="A22" t="s">
        <v>98</v>
      </c>
      <c r="B22" s="2">
        <v>97.348690000000005</v>
      </c>
      <c r="C22" s="2">
        <v>82.042999999999992</v>
      </c>
      <c r="D22" s="2">
        <v>82.042999999999992</v>
      </c>
      <c r="E22" s="2">
        <v>82.042999999999992</v>
      </c>
      <c r="F22" s="2">
        <v>15.305690000000009</v>
      </c>
      <c r="G22" s="2">
        <v>15.305690000000009</v>
      </c>
    </row>
    <row r="23" spans="1:8" x14ac:dyDescent="0.2">
      <c r="A23" s="27" t="s">
        <v>287</v>
      </c>
      <c r="B23" s="28">
        <v>1287.317593</v>
      </c>
      <c r="C23" s="28">
        <v>1208.316585</v>
      </c>
      <c r="D23" s="28">
        <v>817.05213500000002</v>
      </c>
      <c r="E23" s="28">
        <v>817.05213500000002</v>
      </c>
      <c r="F23" s="28">
        <v>79.001008000000184</v>
      </c>
      <c r="G23" s="28">
        <v>470.26545800000002</v>
      </c>
    </row>
    <row r="26" spans="1:8" ht="16" x14ac:dyDescent="0.2">
      <c r="A26" s="61" t="s">
        <v>288</v>
      </c>
      <c r="B26" s="54"/>
      <c r="C26" s="54"/>
      <c r="D26" s="54"/>
      <c r="E26" s="54"/>
      <c r="F26" s="54"/>
      <c r="G26" s="54"/>
      <c r="H26" s="54"/>
    </row>
    <row r="27" spans="1:8" x14ac:dyDescent="0.2">
      <c r="A27" s="54" t="s">
        <v>289</v>
      </c>
      <c r="B27" s="54"/>
      <c r="C27" s="54"/>
      <c r="D27" s="54"/>
      <c r="E27" s="54"/>
      <c r="F27" s="54"/>
      <c r="G27" s="54"/>
      <c r="H27" s="54"/>
    </row>
    <row r="28" spans="1:8" x14ac:dyDescent="0.2">
      <c r="A28" s="54" t="s">
        <v>290</v>
      </c>
      <c r="B28" s="54"/>
      <c r="C28" s="54"/>
      <c r="D28" s="54"/>
      <c r="E28" s="54"/>
      <c r="F28" s="54"/>
      <c r="G28" s="54"/>
      <c r="H28" s="54"/>
    </row>
    <row r="29" spans="1:8" x14ac:dyDescent="0.2">
      <c r="A29" s="54" t="s">
        <v>291</v>
      </c>
      <c r="B29" s="54"/>
      <c r="C29" s="54"/>
      <c r="D29" s="54"/>
      <c r="E29" s="54"/>
      <c r="F29" s="54"/>
      <c r="G29" s="54"/>
      <c r="H29" s="54"/>
    </row>
    <row r="30" spans="1:8" x14ac:dyDescent="0.2">
      <c r="A30" s="54" t="s">
        <v>292</v>
      </c>
      <c r="B30" s="54"/>
      <c r="C30" s="54"/>
      <c r="D30" s="54"/>
      <c r="E30" s="54"/>
      <c r="F30" s="54"/>
      <c r="G30" s="54"/>
      <c r="H30" s="54"/>
    </row>
    <row r="31" spans="1:8" x14ac:dyDescent="0.2">
      <c r="A31" s="54" t="s">
        <v>293</v>
      </c>
      <c r="B31" s="54"/>
      <c r="C31" s="54"/>
      <c r="D31" s="54"/>
      <c r="E31" s="54"/>
      <c r="F31" s="54"/>
      <c r="G31" s="54"/>
      <c r="H31" s="54"/>
    </row>
  </sheetData>
  <mergeCells count="9">
    <mergeCell ref="A1:H1"/>
    <mergeCell ref="A27:H27"/>
    <mergeCell ref="A31:H31"/>
    <mergeCell ref="A9:H9"/>
    <mergeCell ref="A26:H26"/>
    <mergeCell ref="A30:H30"/>
    <mergeCell ref="A29:H29"/>
    <mergeCell ref="A2:H2"/>
    <mergeCell ref="A28:H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87"/>
  <sheetViews>
    <sheetView rightToLeft="1" tabSelected="1" topLeftCell="A48" workbookViewId="0">
      <selection activeCell="N58" sqref="N58"/>
    </sheetView>
  </sheetViews>
  <sheetFormatPr baseColWidth="10" defaultColWidth="8.83203125" defaultRowHeight="15" x14ac:dyDescent="0.2"/>
  <cols>
    <col min="1" max="1" width="18.33203125" customWidth="1"/>
    <col min="2" max="2" width="15.5" customWidth="1"/>
    <col min="3" max="3" width="12" customWidth="1"/>
    <col min="4" max="4" width="22.83203125" customWidth="1"/>
    <col min="5" max="5" width="17" customWidth="1"/>
    <col min="6" max="6" width="16.83203125" customWidth="1"/>
    <col min="7" max="7" width="14.6640625" customWidth="1"/>
    <col min="8" max="8" width="20.33203125" customWidth="1"/>
    <col min="9" max="9" width="12.6640625" customWidth="1"/>
    <col min="10" max="10" width="35" customWidth="1"/>
    <col min="11" max="11" width="21" customWidth="1"/>
    <col min="12" max="12" width="22" customWidth="1"/>
    <col min="13" max="13" width="21" customWidth="1"/>
    <col min="14" max="15" width="20" customWidth="1"/>
    <col min="16" max="18" width="11" customWidth="1"/>
  </cols>
  <sheetData>
    <row r="1" spans="1:18" ht="20" x14ac:dyDescent="0.25">
      <c r="A1" s="68" t="s">
        <v>294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x14ac:dyDescent="0.2">
      <c r="A2" s="67" t="s">
        <v>295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1:18" x14ac:dyDescent="0.2">
      <c r="A3" s="55" t="s">
        <v>296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</row>
    <row r="5" spans="1:18" ht="16" x14ac:dyDescent="0.2">
      <c r="A5" s="58" t="s">
        <v>297</v>
      </c>
      <c r="B5" s="54"/>
      <c r="C5" s="54"/>
      <c r="D5" s="54"/>
      <c r="E5" s="54"/>
      <c r="F5" s="54"/>
      <c r="G5" s="54"/>
      <c r="H5" s="54"/>
      <c r="I5" s="54"/>
    </row>
    <row r="6" spans="1:18" ht="16" x14ac:dyDescent="0.2">
      <c r="A6" s="1" t="s">
        <v>135</v>
      </c>
      <c r="B6" s="1" t="s">
        <v>298</v>
      </c>
      <c r="C6" s="1" t="s">
        <v>299</v>
      </c>
      <c r="D6" s="1" t="s">
        <v>300</v>
      </c>
      <c r="E6" s="1" t="s">
        <v>301</v>
      </c>
      <c r="F6" s="1" t="s">
        <v>302</v>
      </c>
      <c r="G6" s="1" t="s">
        <v>234</v>
      </c>
      <c r="H6" s="1" t="s">
        <v>303</v>
      </c>
      <c r="I6" s="1" t="s">
        <v>251</v>
      </c>
    </row>
    <row r="7" spans="1:18" x14ac:dyDescent="0.2">
      <c r="A7" s="31" t="s">
        <v>118</v>
      </c>
      <c r="B7" s="16">
        <v>34.804050029999999</v>
      </c>
      <c r="C7" s="42">
        <v>0.80682297222222221</v>
      </c>
      <c r="D7" s="43">
        <v>4</v>
      </c>
      <c r="E7" s="2">
        <v>48</v>
      </c>
      <c r="F7" s="44">
        <v>3.1931770277777778</v>
      </c>
      <c r="G7" s="16">
        <v>10.9</v>
      </c>
      <c r="H7" s="8" t="s">
        <v>304</v>
      </c>
      <c r="I7" t="s">
        <v>305</v>
      </c>
    </row>
    <row r="8" spans="1:18" x14ac:dyDescent="0.2">
      <c r="A8" s="31" t="s">
        <v>119</v>
      </c>
      <c r="B8" s="16">
        <v>4.9385000000000003</v>
      </c>
      <c r="C8" s="42">
        <v>2.0092500000000002</v>
      </c>
      <c r="D8" s="43">
        <v>2.5</v>
      </c>
      <c r="E8" s="2">
        <v>30</v>
      </c>
      <c r="F8" s="44">
        <v>0.49075000000000019</v>
      </c>
      <c r="G8" s="16">
        <v>10.1</v>
      </c>
      <c r="H8" s="8" t="s">
        <v>304</v>
      </c>
      <c r="I8" t="s">
        <v>305</v>
      </c>
    </row>
    <row r="9" spans="1:18" x14ac:dyDescent="0.2">
      <c r="A9" s="31" t="s">
        <v>120</v>
      </c>
      <c r="B9" s="2"/>
      <c r="C9" s="42">
        <v>7.6805555555555544E-2</v>
      </c>
      <c r="D9" s="43"/>
      <c r="E9" s="2">
        <v>0</v>
      </c>
      <c r="F9" s="45">
        <v>-7.6805555555555544E-2</v>
      </c>
      <c r="G9" t="s">
        <v>238</v>
      </c>
      <c r="H9" t="s">
        <v>238</v>
      </c>
      <c r="I9" t="s">
        <v>306</v>
      </c>
    </row>
    <row r="10" spans="1:18" x14ac:dyDescent="0.2">
      <c r="A10" s="31" t="s">
        <v>121</v>
      </c>
      <c r="B10" s="16">
        <v>1.3400004400000001</v>
      </c>
      <c r="C10" s="42">
        <v>1.686806361111111</v>
      </c>
      <c r="D10" s="43">
        <v>15</v>
      </c>
      <c r="E10" s="2">
        <v>180</v>
      </c>
      <c r="F10" s="44">
        <v>13.31319363888889</v>
      </c>
      <c r="G10" s="9">
        <v>0.1</v>
      </c>
      <c r="H10" s="6" t="s">
        <v>307</v>
      </c>
      <c r="I10" t="s">
        <v>308</v>
      </c>
    </row>
    <row r="11" spans="1:18" x14ac:dyDescent="0.2">
      <c r="A11" s="31" t="s">
        <v>122</v>
      </c>
      <c r="B11" s="16">
        <v>24.591675055</v>
      </c>
      <c r="C11" s="42">
        <v>1.3148307777777779</v>
      </c>
      <c r="D11" s="43">
        <v>3</v>
      </c>
      <c r="E11" s="2">
        <v>36</v>
      </c>
      <c r="F11" s="44">
        <v>1.6851692222222221</v>
      </c>
      <c r="G11" s="15">
        <v>14.6</v>
      </c>
      <c r="H11" s="7" t="s">
        <v>309</v>
      </c>
      <c r="I11" t="s">
        <v>310</v>
      </c>
    </row>
    <row r="12" spans="1:18" x14ac:dyDescent="0.2">
      <c r="A12" s="31" t="s">
        <v>123</v>
      </c>
      <c r="B12" s="16">
        <v>1</v>
      </c>
      <c r="C12" s="42">
        <v>0.61584722222222221</v>
      </c>
      <c r="D12" s="43">
        <v>1.5</v>
      </c>
      <c r="E12" s="2">
        <v>18</v>
      </c>
      <c r="F12" s="44">
        <v>0.88415277777777779</v>
      </c>
      <c r="G12" s="9">
        <v>1.1000000000000001</v>
      </c>
      <c r="H12" s="6" t="s">
        <v>311</v>
      </c>
      <c r="I12" t="s">
        <v>308</v>
      </c>
    </row>
    <row r="13" spans="1:18" x14ac:dyDescent="0.2">
      <c r="A13" s="31" t="s">
        <v>124</v>
      </c>
      <c r="B13" s="16">
        <v>1.7200200000000001</v>
      </c>
      <c r="C13" s="42">
        <v>0.19844444444444451</v>
      </c>
      <c r="D13" s="43">
        <v>1</v>
      </c>
      <c r="E13" s="2">
        <v>12</v>
      </c>
      <c r="F13" s="44">
        <v>0.80155555555555558</v>
      </c>
      <c r="G13" s="9">
        <v>2.1</v>
      </c>
      <c r="H13" s="6" t="s">
        <v>312</v>
      </c>
      <c r="I13" t="s">
        <v>308</v>
      </c>
    </row>
    <row r="14" spans="1:18" x14ac:dyDescent="0.2">
      <c r="A14" s="31" t="s">
        <v>125</v>
      </c>
      <c r="B14" s="16">
        <v>18.60211</v>
      </c>
      <c r="C14" s="42">
        <v>1.4444448194444439</v>
      </c>
      <c r="D14" s="43">
        <v>3</v>
      </c>
      <c r="E14" s="2">
        <v>36</v>
      </c>
      <c r="F14" s="44">
        <v>1.5555551805555561</v>
      </c>
      <c r="G14" s="16">
        <v>12</v>
      </c>
      <c r="H14" s="8" t="s">
        <v>313</v>
      </c>
      <c r="I14" t="s">
        <v>305</v>
      </c>
    </row>
    <row r="15" spans="1:18" x14ac:dyDescent="0.2">
      <c r="A15" s="31" t="s">
        <v>126</v>
      </c>
      <c r="B15" s="16">
        <v>1.7509999999999999</v>
      </c>
      <c r="C15" s="42">
        <v>0.27583333333333332</v>
      </c>
      <c r="D15" s="43">
        <v>2</v>
      </c>
      <c r="E15" s="2">
        <v>24</v>
      </c>
      <c r="F15" s="44">
        <v>1.7241666666666671</v>
      </c>
      <c r="G15" s="9">
        <v>1</v>
      </c>
      <c r="H15" s="6" t="s">
        <v>311</v>
      </c>
      <c r="I15" t="s">
        <v>308</v>
      </c>
    </row>
    <row r="16" spans="1:18" x14ac:dyDescent="0.2">
      <c r="A16" s="31" t="s">
        <v>127</v>
      </c>
      <c r="B16" s="15">
        <v>107.092176975</v>
      </c>
      <c r="C16" s="42">
        <v>1.2533201249999999</v>
      </c>
      <c r="D16" s="43">
        <v>5</v>
      </c>
      <c r="E16" s="2">
        <v>60</v>
      </c>
      <c r="F16" s="44">
        <v>3.7466798749999999</v>
      </c>
      <c r="G16" s="15">
        <v>28.6</v>
      </c>
      <c r="H16" s="7" t="s">
        <v>309</v>
      </c>
      <c r="I16" t="s">
        <v>314</v>
      </c>
    </row>
    <row r="17" spans="1:16" x14ac:dyDescent="0.2">
      <c r="A17" s="31" t="s">
        <v>128</v>
      </c>
      <c r="B17" s="15">
        <v>266.87452819499998</v>
      </c>
      <c r="C17" s="42">
        <v>4.2277252499999998</v>
      </c>
      <c r="D17" s="43">
        <v>30</v>
      </c>
      <c r="E17" s="2">
        <v>360</v>
      </c>
      <c r="F17" s="44">
        <v>25.772274750000001</v>
      </c>
      <c r="G17" s="16">
        <v>10.4</v>
      </c>
      <c r="H17" s="8" t="s">
        <v>304</v>
      </c>
      <c r="I17" t="s">
        <v>305</v>
      </c>
    </row>
    <row r="18" spans="1:16" x14ac:dyDescent="0.2">
      <c r="A18" s="31" t="s">
        <v>129</v>
      </c>
      <c r="B18" s="15">
        <v>153.23044049999999</v>
      </c>
      <c r="C18" s="42">
        <v>1.12664925</v>
      </c>
      <c r="D18" s="43">
        <v>15</v>
      </c>
      <c r="E18" s="2">
        <v>180</v>
      </c>
      <c r="F18" s="44">
        <v>13.87335075</v>
      </c>
      <c r="G18" s="16">
        <v>11</v>
      </c>
      <c r="H18" s="8" t="s">
        <v>313</v>
      </c>
      <c r="I18" t="s">
        <v>305</v>
      </c>
    </row>
    <row r="19" spans="1:16" x14ac:dyDescent="0.2">
      <c r="A19" s="31" t="s">
        <v>130</v>
      </c>
      <c r="B19" s="15">
        <v>60.515149950000001</v>
      </c>
      <c r="C19" s="42">
        <v>1.2183435</v>
      </c>
      <c r="D19" s="43">
        <v>5</v>
      </c>
      <c r="E19" s="2">
        <v>60</v>
      </c>
      <c r="F19" s="44">
        <v>3.7816565</v>
      </c>
      <c r="G19" s="15">
        <v>16</v>
      </c>
      <c r="H19" s="7" t="s">
        <v>309</v>
      </c>
      <c r="I19" t="s">
        <v>315</v>
      </c>
    </row>
    <row r="20" spans="1:16" x14ac:dyDescent="0.2">
      <c r="A20" s="31" t="s">
        <v>131</v>
      </c>
      <c r="B20" s="16">
        <v>49.37274</v>
      </c>
      <c r="C20" s="42">
        <v>0.75024150000000001</v>
      </c>
      <c r="D20" s="43">
        <v>7</v>
      </c>
      <c r="E20" s="2">
        <v>84</v>
      </c>
      <c r="F20" s="44">
        <v>6.2497585000000004</v>
      </c>
      <c r="G20" s="9">
        <v>7.9</v>
      </c>
      <c r="H20" s="6" t="s">
        <v>316</v>
      </c>
      <c r="I20" t="s">
        <v>308</v>
      </c>
    </row>
    <row r="21" spans="1:16" x14ac:dyDescent="0.2">
      <c r="A21" s="27" t="s">
        <v>317</v>
      </c>
      <c r="B21" s="28">
        <v>725.83239114500009</v>
      </c>
      <c r="C21" s="28">
        <v>17.005365111111111</v>
      </c>
      <c r="D21" s="28">
        <v>94</v>
      </c>
      <c r="E21" s="28">
        <v>1128</v>
      </c>
    </row>
    <row r="24" spans="1:16" ht="16" x14ac:dyDescent="0.2">
      <c r="A24" s="58" t="s">
        <v>318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1:16" ht="16" x14ac:dyDescent="0.2">
      <c r="A25" s="1" t="s">
        <v>135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106</v>
      </c>
      <c r="J25" s="1" t="s">
        <v>107</v>
      </c>
      <c r="K25" s="1" t="s">
        <v>108</v>
      </c>
      <c r="L25" s="1" t="s">
        <v>109</v>
      </c>
      <c r="M25" s="1" t="s">
        <v>110</v>
      </c>
      <c r="N25" s="1" t="s">
        <v>319</v>
      </c>
    </row>
    <row r="26" spans="1:16" x14ac:dyDescent="0.2">
      <c r="A26" s="31" t="s">
        <v>118</v>
      </c>
      <c r="B26" s="11">
        <v>4</v>
      </c>
      <c r="C26" s="11">
        <v>4</v>
      </c>
      <c r="D26" s="11">
        <v>4</v>
      </c>
      <c r="E26" s="11">
        <v>4</v>
      </c>
      <c r="F26" s="11">
        <v>4</v>
      </c>
      <c r="G26" s="11">
        <v>4</v>
      </c>
      <c r="H26" s="11">
        <v>4</v>
      </c>
      <c r="I26" s="11">
        <v>4</v>
      </c>
      <c r="J26" s="11">
        <v>4</v>
      </c>
      <c r="K26" s="11">
        <v>4</v>
      </c>
      <c r="L26" s="11">
        <v>4</v>
      </c>
      <c r="M26" s="24">
        <v>0.80682297222222221</v>
      </c>
      <c r="N26" s="35">
        <v>44.806822972222221</v>
      </c>
    </row>
    <row r="27" spans="1:16" x14ac:dyDescent="0.2">
      <c r="A27" s="31" t="s">
        <v>119</v>
      </c>
      <c r="B27" s="11">
        <v>2.5</v>
      </c>
      <c r="C27" s="11">
        <v>2.5</v>
      </c>
      <c r="D27" s="11">
        <v>2.5</v>
      </c>
      <c r="E27" s="11">
        <v>2.5</v>
      </c>
      <c r="F27" s="11">
        <v>2.5</v>
      </c>
      <c r="G27" s="11">
        <v>2.5</v>
      </c>
      <c r="H27" s="24">
        <v>2.0092500000000002</v>
      </c>
      <c r="I27" s="24">
        <v>2.0092500000000002</v>
      </c>
      <c r="J27" s="24">
        <v>2.0092500000000002</v>
      </c>
      <c r="K27" s="24">
        <v>2.0092500000000002</v>
      </c>
      <c r="L27" s="24">
        <v>2.0092500000000002</v>
      </c>
      <c r="M27" s="24">
        <v>2.0092500000000002</v>
      </c>
      <c r="N27" s="35">
        <v>27.055500000000009</v>
      </c>
    </row>
    <row r="28" spans="1:16" x14ac:dyDescent="0.2">
      <c r="A28" s="31" t="s">
        <v>120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35"/>
    </row>
    <row r="29" spans="1:16" x14ac:dyDescent="0.2">
      <c r="A29" s="31" t="s">
        <v>121</v>
      </c>
      <c r="B29" s="11">
        <v>15</v>
      </c>
      <c r="C29" s="24">
        <v>1.686806361111111</v>
      </c>
      <c r="D29" s="24">
        <v>1.686806361111111</v>
      </c>
      <c r="E29" s="24">
        <v>1.686806361111111</v>
      </c>
      <c r="F29" s="24">
        <v>1.686806361111111</v>
      </c>
      <c r="G29" s="24">
        <v>1.686806361111111</v>
      </c>
      <c r="H29" s="24">
        <v>1.686806361111111</v>
      </c>
      <c r="I29" s="24">
        <v>1.686806361111111</v>
      </c>
      <c r="J29" s="24">
        <v>1.686806361111111</v>
      </c>
      <c r="K29" s="24">
        <v>1.686806361111111</v>
      </c>
      <c r="L29" s="24">
        <v>1.686806361111111</v>
      </c>
      <c r="M29" s="24">
        <v>1.686806361111111</v>
      </c>
      <c r="N29" s="35">
        <v>33.554869972222207</v>
      </c>
    </row>
    <row r="30" spans="1:16" x14ac:dyDescent="0.2">
      <c r="A30" s="31" t="s">
        <v>122</v>
      </c>
      <c r="B30" s="11">
        <v>3</v>
      </c>
      <c r="C30" s="11">
        <v>3</v>
      </c>
      <c r="D30" s="11">
        <v>3</v>
      </c>
      <c r="E30" s="11">
        <v>3</v>
      </c>
      <c r="F30" s="11">
        <v>3</v>
      </c>
      <c r="G30" s="11">
        <v>3</v>
      </c>
      <c r="H30" s="11">
        <v>3</v>
      </c>
      <c r="I30" s="11">
        <v>3</v>
      </c>
      <c r="J30" s="11">
        <v>3</v>
      </c>
      <c r="K30" s="11">
        <v>3</v>
      </c>
      <c r="L30" s="11">
        <v>3</v>
      </c>
      <c r="M30" s="11">
        <v>3</v>
      </c>
      <c r="N30" s="35">
        <v>36</v>
      </c>
    </row>
    <row r="31" spans="1:16" x14ac:dyDescent="0.2">
      <c r="A31" s="31" t="s">
        <v>123</v>
      </c>
      <c r="B31" s="11">
        <v>1.5</v>
      </c>
      <c r="C31" s="24">
        <v>0.61584722222222221</v>
      </c>
      <c r="D31" s="24">
        <v>0.61584722222222221</v>
      </c>
      <c r="E31" s="24">
        <v>0.61584722222222221</v>
      </c>
      <c r="F31" s="24">
        <v>0.61584722222222221</v>
      </c>
      <c r="G31" s="24">
        <v>0.61584722222222221</v>
      </c>
      <c r="H31" s="24">
        <v>0.61584722222222221</v>
      </c>
      <c r="I31" s="24">
        <v>0.61584722222222221</v>
      </c>
      <c r="J31" s="24">
        <v>0.61584722222222221</v>
      </c>
      <c r="K31" s="24">
        <v>0.61584722222222221</v>
      </c>
      <c r="L31" s="24">
        <v>0.61584722222222221</v>
      </c>
      <c r="M31" s="24">
        <v>0.61584722222222221</v>
      </c>
      <c r="N31" s="35">
        <v>8.2743194444444459</v>
      </c>
    </row>
    <row r="32" spans="1:16" x14ac:dyDescent="0.2">
      <c r="A32" s="31" t="s">
        <v>124</v>
      </c>
      <c r="B32" s="11">
        <v>1</v>
      </c>
      <c r="C32" s="11">
        <v>1</v>
      </c>
      <c r="D32" s="24">
        <v>0.19844444444444451</v>
      </c>
      <c r="E32" s="24">
        <v>0.19844444444444451</v>
      </c>
      <c r="F32" s="24">
        <v>0.19844444444444451</v>
      </c>
      <c r="G32" s="24">
        <v>0.19844444444444451</v>
      </c>
      <c r="H32" s="24">
        <v>0.19844444444444451</v>
      </c>
      <c r="I32" s="24">
        <v>0.19844444444444451</v>
      </c>
      <c r="J32" s="24">
        <v>0.19844444444444451</v>
      </c>
      <c r="K32" s="24">
        <v>0.19844444444444451</v>
      </c>
      <c r="L32" s="24">
        <v>0.19844444444444451</v>
      </c>
      <c r="M32" s="24">
        <v>0.19844444444444451</v>
      </c>
      <c r="N32" s="35">
        <v>3.984444444444446</v>
      </c>
    </row>
    <row r="33" spans="1:15" x14ac:dyDescent="0.2">
      <c r="A33" s="31" t="s">
        <v>125</v>
      </c>
      <c r="B33" s="11">
        <v>3</v>
      </c>
      <c r="C33" s="11">
        <v>3</v>
      </c>
      <c r="D33" s="11">
        <v>3</v>
      </c>
      <c r="E33" s="11">
        <v>3</v>
      </c>
      <c r="F33" s="11">
        <v>3</v>
      </c>
      <c r="G33" s="11">
        <v>3</v>
      </c>
      <c r="H33" s="11">
        <v>3</v>
      </c>
      <c r="I33" s="11">
        <v>3</v>
      </c>
      <c r="J33" s="11">
        <v>3</v>
      </c>
      <c r="K33" s="11">
        <v>3</v>
      </c>
      <c r="L33" s="11">
        <v>3</v>
      </c>
      <c r="M33" s="11">
        <v>3</v>
      </c>
      <c r="N33" s="35">
        <v>36</v>
      </c>
    </row>
    <row r="34" spans="1:15" x14ac:dyDescent="0.2">
      <c r="A34" s="31" t="s">
        <v>126</v>
      </c>
      <c r="B34" s="11">
        <v>2</v>
      </c>
      <c r="C34" s="24">
        <v>0.27583333333333332</v>
      </c>
      <c r="D34" s="24">
        <v>0.27583333333333332</v>
      </c>
      <c r="E34" s="24">
        <v>0.27583333333333332</v>
      </c>
      <c r="F34" s="24">
        <v>0.27583333333333332</v>
      </c>
      <c r="G34" s="24">
        <v>0.27583333333333332</v>
      </c>
      <c r="H34" s="24">
        <v>0.27583333333333332</v>
      </c>
      <c r="I34" s="24">
        <v>0.27583333333333332</v>
      </c>
      <c r="J34" s="24">
        <v>0.27583333333333332</v>
      </c>
      <c r="K34" s="24">
        <v>0.27583333333333332</v>
      </c>
      <c r="L34" s="24">
        <v>0.27583333333333332</v>
      </c>
      <c r="M34" s="24">
        <v>0.27583333333333332</v>
      </c>
      <c r="N34" s="35">
        <v>5.0341666666666658</v>
      </c>
    </row>
    <row r="35" spans="1:15" x14ac:dyDescent="0.2">
      <c r="A35" s="31" t="s">
        <v>127</v>
      </c>
      <c r="B35" s="14">
        <v>5</v>
      </c>
      <c r="C35" s="14">
        <v>5</v>
      </c>
      <c r="D35" s="14">
        <v>5</v>
      </c>
      <c r="E35" s="14">
        <v>5</v>
      </c>
      <c r="F35" s="14">
        <v>5</v>
      </c>
      <c r="G35" s="14">
        <v>5</v>
      </c>
      <c r="H35" s="14">
        <v>5</v>
      </c>
      <c r="I35" s="14">
        <v>5</v>
      </c>
      <c r="J35" s="14">
        <v>5</v>
      </c>
      <c r="K35" s="14">
        <v>5</v>
      </c>
      <c r="L35" s="14">
        <v>5</v>
      </c>
      <c r="M35" s="14">
        <v>5</v>
      </c>
      <c r="N35" s="35">
        <v>60</v>
      </c>
    </row>
    <row r="36" spans="1:15" x14ac:dyDescent="0.2">
      <c r="A36" s="31" t="s">
        <v>128</v>
      </c>
      <c r="B36" s="14">
        <v>30</v>
      </c>
      <c r="C36" s="14">
        <v>30</v>
      </c>
      <c r="D36" s="14">
        <v>30</v>
      </c>
      <c r="E36" s="14">
        <v>30</v>
      </c>
      <c r="F36" s="14">
        <v>30</v>
      </c>
      <c r="G36" s="14">
        <v>30</v>
      </c>
      <c r="H36" s="14">
        <v>30</v>
      </c>
      <c r="I36" s="14">
        <v>30</v>
      </c>
      <c r="J36" s="14">
        <v>30</v>
      </c>
      <c r="K36" s="14">
        <v>30</v>
      </c>
      <c r="L36" s="14">
        <v>30</v>
      </c>
      <c r="M36" s="24">
        <v>4.2277252499999998</v>
      </c>
      <c r="N36" s="35">
        <v>334.22772524999999</v>
      </c>
    </row>
    <row r="37" spans="1:15" x14ac:dyDescent="0.2">
      <c r="A37" s="31" t="s">
        <v>129</v>
      </c>
      <c r="B37" s="14">
        <v>15</v>
      </c>
      <c r="C37" s="14">
        <v>15</v>
      </c>
      <c r="D37" s="14">
        <v>15</v>
      </c>
      <c r="E37" s="14">
        <v>15</v>
      </c>
      <c r="F37" s="14">
        <v>15</v>
      </c>
      <c r="G37" s="14">
        <v>15</v>
      </c>
      <c r="H37" s="14">
        <v>15</v>
      </c>
      <c r="I37" s="14">
        <v>15</v>
      </c>
      <c r="J37" s="14">
        <v>15</v>
      </c>
      <c r="K37" s="14">
        <v>15</v>
      </c>
      <c r="L37" s="14">
        <v>15</v>
      </c>
      <c r="M37" s="24">
        <v>1.12664925</v>
      </c>
      <c r="N37" s="35">
        <v>166.12664925000001</v>
      </c>
    </row>
    <row r="38" spans="1:15" x14ac:dyDescent="0.2">
      <c r="A38" s="31" t="s">
        <v>130</v>
      </c>
      <c r="B38" s="14">
        <v>5</v>
      </c>
      <c r="C38" s="14">
        <v>5</v>
      </c>
      <c r="D38" s="14">
        <v>5</v>
      </c>
      <c r="E38" s="14">
        <v>5</v>
      </c>
      <c r="F38" s="14">
        <v>5</v>
      </c>
      <c r="G38" s="14">
        <v>5</v>
      </c>
      <c r="H38" s="14">
        <v>5</v>
      </c>
      <c r="I38" s="14">
        <v>5</v>
      </c>
      <c r="J38" s="14">
        <v>5</v>
      </c>
      <c r="K38" s="14">
        <v>5</v>
      </c>
      <c r="L38" s="14">
        <v>5</v>
      </c>
      <c r="M38" s="14">
        <v>5</v>
      </c>
      <c r="N38" s="35">
        <v>60</v>
      </c>
    </row>
    <row r="39" spans="1:15" x14ac:dyDescent="0.2">
      <c r="A39" s="31" t="s">
        <v>131</v>
      </c>
      <c r="B39" s="11">
        <v>7</v>
      </c>
      <c r="C39" s="11">
        <v>7</v>
      </c>
      <c r="D39" s="11">
        <v>7</v>
      </c>
      <c r="E39" s="11">
        <v>7</v>
      </c>
      <c r="F39" s="11">
        <v>7</v>
      </c>
      <c r="G39" s="11">
        <v>7</v>
      </c>
      <c r="H39" s="11">
        <v>7</v>
      </c>
      <c r="I39" s="11">
        <v>7</v>
      </c>
      <c r="J39" s="24">
        <v>0.75024150000000001</v>
      </c>
      <c r="K39" s="24">
        <v>0.75024150000000001</v>
      </c>
      <c r="L39" s="24">
        <v>0.75024150000000001</v>
      </c>
      <c r="M39" s="24">
        <v>0.75024150000000001</v>
      </c>
      <c r="N39" s="35">
        <v>59.000966000000012</v>
      </c>
    </row>
    <row r="40" spans="1:15" x14ac:dyDescent="0.2">
      <c r="A40" s="27" t="s">
        <v>320</v>
      </c>
      <c r="B40" s="28">
        <v>94</v>
      </c>
      <c r="C40" s="28">
        <v>78.078486916666662</v>
      </c>
      <c r="D40" s="28">
        <v>77.27693136111111</v>
      </c>
      <c r="E40" s="28">
        <v>77.27693136111111</v>
      </c>
      <c r="F40" s="28">
        <v>77.27693136111111</v>
      </c>
      <c r="G40" s="28">
        <v>77.27693136111111</v>
      </c>
      <c r="H40" s="28">
        <v>76.786181361111119</v>
      </c>
      <c r="I40" s="28">
        <v>76.786181361111119</v>
      </c>
      <c r="J40" s="28">
        <v>70.53642286111112</v>
      </c>
      <c r="K40" s="28">
        <v>70.53642286111112</v>
      </c>
      <c r="L40" s="28">
        <v>70.53642286111112</v>
      </c>
      <c r="M40" s="28">
        <v>27.69762033333333</v>
      </c>
      <c r="N40" s="28">
        <v>874.06546400000002</v>
      </c>
    </row>
    <row r="43" spans="1:15" ht="16" x14ac:dyDescent="0.2">
      <c r="A43" s="58" t="s">
        <v>321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</row>
    <row r="44" spans="1:15" ht="16" x14ac:dyDescent="0.2">
      <c r="A44" s="1" t="s">
        <v>135</v>
      </c>
      <c r="B44" s="1" t="s">
        <v>322</v>
      </c>
      <c r="C44" s="1" t="s">
        <v>99</v>
      </c>
      <c r="D44" s="1" t="s">
        <v>100</v>
      </c>
      <c r="E44" s="1" t="s">
        <v>101</v>
      </c>
      <c r="F44" s="1" t="s">
        <v>102</v>
      </c>
      <c r="G44" s="1" t="s">
        <v>103</v>
      </c>
      <c r="H44" s="1" t="s">
        <v>104</v>
      </c>
      <c r="I44" s="1" t="s">
        <v>105</v>
      </c>
      <c r="J44" s="1" t="s">
        <v>106</v>
      </c>
      <c r="K44" s="1" t="s">
        <v>107</v>
      </c>
      <c r="L44" s="1" t="s">
        <v>108</v>
      </c>
      <c r="M44" s="1" t="s">
        <v>109</v>
      </c>
      <c r="N44" s="1" t="s">
        <v>110</v>
      </c>
      <c r="O44" s="1" t="s">
        <v>323</v>
      </c>
    </row>
    <row r="45" spans="1:15" x14ac:dyDescent="0.2">
      <c r="A45" s="31" t="s">
        <v>118</v>
      </c>
      <c r="B45" s="16">
        <v>34.804050029999999</v>
      </c>
      <c r="C45" s="11">
        <v>31.61087300222222</v>
      </c>
      <c r="D45" s="11">
        <v>28.417695974444442</v>
      </c>
      <c r="E45" s="11">
        <v>25.22451894666666</v>
      </c>
      <c r="F45" s="11">
        <v>22.031341918888881</v>
      </c>
      <c r="G45" s="11">
        <v>18.838164891111109</v>
      </c>
      <c r="H45" s="11">
        <v>15.644987863333331</v>
      </c>
      <c r="I45" s="11">
        <v>12.45181083555555</v>
      </c>
      <c r="J45" s="11">
        <v>9.2586338077777697</v>
      </c>
      <c r="K45" s="14">
        <v>6.0654567799999919</v>
      </c>
      <c r="L45" s="14">
        <v>2.8722797522222141</v>
      </c>
      <c r="M45" s="24" t="s">
        <v>324</v>
      </c>
      <c r="N45" s="24" t="s">
        <v>324</v>
      </c>
      <c r="O45" s="6" t="s">
        <v>324</v>
      </c>
    </row>
    <row r="46" spans="1:15" x14ac:dyDescent="0.2">
      <c r="A46" s="31" t="s">
        <v>119</v>
      </c>
      <c r="B46" s="16">
        <v>4.9385000000000003</v>
      </c>
      <c r="C46" s="11">
        <v>4.4477500000000001</v>
      </c>
      <c r="D46" s="11">
        <v>3.9569999999999999</v>
      </c>
      <c r="E46" s="11">
        <v>3.4662500000000001</v>
      </c>
      <c r="F46" s="11">
        <v>2.9754999999999989</v>
      </c>
      <c r="G46" s="11">
        <v>2.4847499999999991</v>
      </c>
      <c r="H46" s="11">
        <v>1.9939999999999991</v>
      </c>
      <c r="I46" s="11">
        <v>1.5032499999999991</v>
      </c>
      <c r="J46" s="11">
        <v>1.012499999999998</v>
      </c>
      <c r="K46" s="14">
        <v>0.52174999999999816</v>
      </c>
      <c r="L46" s="14">
        <v>3.0999999999997922E-2</v>
      </c>
      <c r="M46" s="24" t="s">
        <v>324</v>
      </c>
      <c r="N46" s="24" t="s">
        <v>324</v>
      </c>
      <c r="O46" s="6" t="s">
        <v>324</v>
      </c>
    </row>
    <row r="47" spans="1:15" x14ac:dyDescent="0.2">
      <c r="A47" s="31" t="s">
        <v>120</v>
      </c>
      <c r="B47" s="16"/>
      <c r="C47" s="11">
        <v>7.6805555555555544E-2</v>
      </c>
      <c r="D47" s="11">
        <v>0.15361111111111109</v>
      </c>
      <c r="E47" s="11">
        <v>0.2304166666666666</v>
      </c>
      <c r="F47" s="11">
        <v>0.30722222222222217</v>
      </c>
      <c r="G47" s="11">
        <v>0.38402777777777769</v>
      </c>
      <c r="H47" s="11">
        <v>0.46083333333333332</v>
      </c>
      <c r="I47" s="11">
        <v>0.53763888888888889</v>
      </c>
      <c r="J47" s="11">
        <v>0.61444444444444446</v>
      </c>
      <c r="K47" s="11">
        <v>0.69125000000000003</v>
      </c>
      <c r="L47" s="11">
        <v>0.7680555555555556</v>
      </c>
      <c r="M47" s="11">
        <v>0.84486111111111117</v>
      </c>
      <c r="N47" s="11">
        <v>0.92166666666666675</v>
      </c>
      <c r="O47" s="15">
        <v>0.92166666666666675</v>
      </c>
    </row>
    <row r="48" spans="1:15" x14ac:dyDescent="0.2">
      <c r="A48" s="31" t="s">
        <v>121</v>
      </c>
      <c r="B48" s="16">
        <v>1.3400004400000001</v>
      </c>
      <c r="C48" s="24" t="s">
        <v>324</v>
      </c>
      <c r="D48" s="24" t="s">
        <v>324</v>
      </c>
      <c r="E48" s="24" t="s">
        <v>324</v>
      </c>
      <c r="F48" s="24" t="s">
        <v>324</v>
      </c>
      <c r="G48" s="24" t="s">
        <v>324</v>
      </c>
      <c r="H48" s="24" t="s">
        <v>324</v>
      </c>
      <c r="I48" s="24" t="s">
        <v>324</v>
      </c>
      <c r="J48" s="24" t="s">
        <v>324</v>
      </c>
      <c r="K48" s="24" t="s">
        <v>324</v>
      </c>
      <c r="L48" s="24" t="s">
        <v>324</v>
      </c>
      <c r="M48" s="24" t="s">
        <v>324</v>
      </c>
      <c r="N48" s="24" t="s">
        <v>324</v>
      </c>
      <c r="O48" s="6" t="s">
        <v>324</v>
      </c>
    </row>
    <row r="49" spans="1:15" x14ac:dyDescent="0.2">
      <c r="A49" s="31" t="s">
        <v>122</v>
      </c>
      <c r="B49" s="16">
        <v>24.591675055</v>
      </c>
      <c r="C49" s="11">
        <v>22.906505832777778</v>
      </c>
      <c r="D49" s="11">
        <v>21.221336610555561</v>
      </c>
      <c r="E49" s="11">
        <v>19.53616738833334</v>
      </c>
      <c r="F49" s="11">
        <v>17.850998166111118</v>
      </c>
      <c r="G49" s="11">
        <v>16.165828943888901</v>
      </c>
      <c r="H49" s="11">
        <v>14.480659721666671</v>
      </c>
      <c r="I49" s="11">
        <v>12.795490499444449</v>
      </c>
      <c r="J49" s="11">
        <v>11.11032127722223</v>
      </c>
      <c r="K49" s="11">
        <v>9.4251520550000052</v>
      </c>
      <c r="L49" s="11">
        <v>7.7399828327777831</v>
      </c>
      <c r="M49" s="11">
        <v>6.054813610555561</v>
      </c>
      <c r="N49" s="14">
        <v>4.3696443883333389</v>
      </c>
      <c r="O49" s="15">
        <v>4.3696443883333389</v>
      </c>
    </row>
    <row r="50" spans="1:15" x14ac:dyDescent="0.2">
      <c r="A50" s="31" t="s">
        <v>123</v>
      </c>
      <c r="B50" s="16">
        <v>1</v>
      </c>
      <c r="C50" s="14">
        <v>0.1158472222222222</v>
      </c>
      <c r="D50" s="24" t="s">
        <v>324</v>
      </c>
      <c r="E50" s="24" t="s">
        <v>324</v>
      </c>
      <c r="F50" s="24" t="s">
        <v>324</v>
      </c>
      <c r="G50" s="24" t="s">
        <v>324</v>
      </c>
      <c r="H50" s="24" t="s">
        <v>324</v>
      </c>
      <c r="I50" s="24" t="s">
        <v>324</v>
      </c>
      <c r="J50" s="24" t="s">
        <v>324</v>
      </c>
      <c r="K50" s="24" t="s">
        <v>324</v>
      </c>
      <c r="L50" s="24" t="s">
        <v>324</v>
      </c>
      <c r="M50" s="24" t="s">
        <v>324</v>
      </c>
      <c r="N50" s="24" t="s">
        <v>324</v>
      </c>
      <c r="O50" s="6" t="s">
        <v>324</v>
      </c>
    </row>
    <row r="51" spans="1:15" x14ac:dyDescent="0.2">
      <c r="A51" s="31" t="s">
        <v>124</v>
      </c>
      <c r="B51" s="16">
        <v>1.7200200000000001</v>
      </c>
      <c r="C51" s="11">
        <v>0.91846444444444453</v>
      </c>
      <c r="D51" s="14">
        <v>0.11690888888888901</v>
      </c>
      <c r="E51" s="24" t="s">
        <v>324</v>
      </c>
      <c r="F51" s="24" t="s">
        <v>324</v>
      </c>
      <c r="G51" s="24" t="s">
        <v>324</v>
      </c>
      <c r="H51" s="24" t="s">
        <v>324</v>
      </c>
      <c r="I51" s="24" t="s">
        <v>324</v>
      </c>
      <c r="J51" s="24" t="s">
        <v>324</v>
      </c>
      <c r="K51" s="24" t="s">
        <v>324</v>
      </c>
      <c r="L51" s="24" t="s">
        <v>324</v>
      </c>
      <c r="M51" s="24" t="s">
        <v>324</v>
      </c>
      <c r="N51" s="24" t="s">
        <v>324</v>
      </c>
      <c r="O51" s="6" t="s">
        <v>324</v>
      </c>
    </row>
    <row r="52" spans="1:15" x14ac:dyDescent="0.2">
      <c r="A52" s="31" t="s">
        <v>125</v>
      </c>
      <c r="B52" s="16">
        <v>18.60211</v>
      </c>
      <c r="C52" s="11">
        <v>17.046554819444449</v>
      </c>
      <c r="D52" s="11">
        <v>15.490999638888891</v>
      </c>
      <c r="E52" s="11">
        <v>13.935444458333331</v>
      </c>
      <c r="F52" s="11">
        <v>12.37988927777778</v>
      </c>
      <c r="G52" s="11">
        <v>10.82433409722222</v>
      </c>
      <c r="H52" s="11">
        <v>9.2687789166666636</v>
      </c>
      <c r="I52" s="11">
        <v>7.7132237361111082</v>
      </c>
      <c r="J52" s="11">
        <v>6.1576685555555528</v>
      </c>
      <c r="K52" s="11">
        <v>4.6021133749999974</v>
      </c>
      <c r="L52" s="14">
        <v>3.046558194444442</v>
      </c>
      <c r="M52" s="14">
        <v>1.4910030138888859</v>
      </c>
      <c r="N52" s="24" t="s">
        <v>324</v>
      </c>
      <c r="O52" s="6" t="s">
        <v>324</v>
      </c>
    </row>
    <row r="53" spans="1:15" x14ac:dyDescent="0.2">
      <c r="A53" s="31" t="s">
        <v>126</v>
      </c>
      <c r="B53" s="16">
        <v>1.7509999999999999</v>
      </c>
      <c r="C53" s="14">
        <v>2.6833333333333209E-2</v>
      </c>
      <c r="D53" s="24" t="s">
        <v>324</v>
      </c>
      <c r="E53" s="24" t="s">
        <v>324</v>
      </c>
      <c r="F53" s="24" t="s">
        <v>324</v>
      </c>
      <c r="G53" s="24" t="s">
        <v>324</v>
      </c>
      <c r="H53" s="24" t="s">
        <v>324</v>
      </c>
      <c r="I53" s="24" t="s">
        <v>324</v>
      </c>
      <c r="J53" s="24" t="s">
        <v>324</v>
      </c>
      <c r="K53" s="24" t="s">
        <v>324</v>
      </c>
      <c r="L53" s="24" t="s">
        <v>324</v>
      </c>
      <c r="M53" s="24" t="s">
        <v>324</v>
      </c>
      <c r="N53" s="24" t="s">
        <v>324</v>
      </c>
      <c r="O53" s="6" t="s">
        <v>324</v>
      </c>
    </row>
    <row r="54" spans="1:15" x14ac:dyDescent="0.2">
      <c r="A54" s="31" t="s">
        <v>127</v>
      </c>
      <c r="B54" s="16">
        <v>107.092176975</v>
      </c>
      <c r="C54" s="11">
        <v>103.3454971</v>
      </c>
      <c r="D54" s="11">
        <v>99.598817225000005</v>
      </c>
      <c r="E54" s="11">
        <v>95.852137350000007</v>
      </c>
      <c r="F54" s="11">
        <v>92.105457475000009</v>
      </c>
      <c r="G54" s="11">
        <v>88.35877760000001</v>
      </c>
      <c r="H54" s="11">
        <v>84.612097725000012</v>
      </c>
      <c r="I54" s="11">
        <v>80.865417850000014</v>
      </c>
      <c r="J54" s="11">
        <v>77.118737975000016</v>
      </c>
      <c r="K54" s="11">
        <v>73.372058100000018</v>
      </c>
      <c r="L54" s="11">
        <v>69.62537822500002</v>
      </c>
      <c r="M54" s="11">
        <v>65.878698350000022</v>
      </c>
      <c r="N54" s="11">
        <v>62.132018475000017</v>
      </c>
      <c r="O54" s="15">
        <v>62.132018475000017</v>
      </c>
    </row>
    <row r="55" spans="1:15" x14ac:dyDescent="0.2">
      <c r="A55" s="31" t="s">
        <v>128</v>
      </c>
      <c r="B55" s="16">
        <v>266.87452819499998</v>
      </c>
      <c r="C55" s="11">
        <v>241.102253445</v>
      </c>
      <c r="D55" s="11">
        <v>215.32997869499999</v>
      </c>
      <c r="E55" s="11">
        <v>189.55770394499999</v>
      </c>
      <c r="F55" s="11">
        <v>163.78542919499989</v>
      </c>
      <c r="G55" s="11">
        <v>138.01315444499991</v>
      </c>
      <c r="H55" s="11">
        <v>112.2408796949999</v>
      </c>
      <c r="I55" s="11">
        <v>86.468604944999953</v>
      </c>
      <c r="J55" s="11">
        <v>60.696330194999952</v>
      </c>
      <c r="K55" s="14">
        <v>34.924055444999951</v>
      </c>
      <c r="L55" s="14">
        <v>9.1517806949999496</v>
      </c>
      <c r="M55" s="24" t="s">
        <v>324</v>
      </c>
      <c r="N55" s="24" t="s">
        <v>324</v>
      </c>
      <c r="O55" s="6" t="s">
        <v>324</v>
      </c>
    </row>
    <row r="56" spans="1:15" x14ac:dyDescent="0.2">
      <c r="A56" s="31" t="s">
        <v>129</v>
      </c>
      <c r="B56" s="16">
        <v>153.23044049999999</v>
      </c>
      <c r="C56" s="11">
        <v>139.35708975</v>
      </c>
      <c r="D56" s="11">
        <v>125.483739</v>
      </c>
      <c r="E56" s="11">
        <v>111.61038825</v>
      </c>
      <c r="F56" s="11">
        <v>97.737037500000028</v>
      </c>
      <c r="G56" s="11">
        <v>83.863686750000028</v>
      </c>
      <c r="H56" s="11">
        <v>69.990336000000028</v>
      </c>
      <c r="I56" s="11">
        <v>56.116985250000027</v>
      </c>
      <c r="J56" s="11">
        <v>42.243634500000027</v>
      </c>
      <c r="K56" s="14">
        <v>28.370283750000031</v>
      </c>
      <c r="L56" s="14">
        <v>14.49693300000003</v>
      </c>
      <c r="M56" s="14">
        <v>0.62358225000002698</v>
      </c>
      <c r="N56" s="24" t="s">
        <v>324</v>
      </c>
      <c r="O56" s="6" t="s">
        <v>324</v>
      </c>
    </row>
    <row r="57" spans="1:15" x14ac:dyDescent="0.2">
      <c r="A57" s="31" t="s">
        <v>130</v>
      </c>
      <c r="B57" s="16">
        <v>60.515149950000001</v>
      </c>
      <c r="C57" s="11">
        <v>56.733493449999997</v>
      </c>
      <c r="D57" s="11">
        <v>52.951836950000008</v>
      </c>
      <c r="E57" s="11">
        <v>49.170180450000011</v>
      </c>
      <c r="F57" s="11">
        <v>45.388523950000007</v>
      </c>
      <c r="G57" s="11">
        <v>41.606867450000017</v>
      </c>
      <c r="H57" s="11">
        <v>37.82521095000002</v>
      </c>
      <c r="I57" s="11">
        <v>34.043554450000023</v>
      </c>
      <c r="J57" s="11">
        <v>30.261897950000019</v>
      </c>
      <c r="K57" s="11">
        <v>26.480241450000019</v>
      </c>
      <c r="L57" s="11">
        <v>22.698584950000019</v>
      </c>
      <c r="M57" s="11">
        <v>18.916928450000022</v>
      </c>
      <c r="N57" s="11">
        <v>15.135271950000019</v>
      </c>
      <c r="O57" s="15">
        <v>15.135271950000019</v>
      </c>
    </row>
    <row r="58" spans="1:15" x14ac:dyDescent="0.2">
      <c r="A58" s="31" t="s">
        <v>131</v>
      </c>
      <c r="B58" s="16">
        <v>49.37274</v>
      </c>
      <c r="C58" s="11">
        <v>43.122981500000002</v>
      </c>
      <c r="D58" s="11">
        <v>36.873223000000003</v>
      </c>
      <c r="E58" s="11">
        <v>30.623464500000001</v>
      </c>
      <c r="F58" s="11">
        <v>24.373706000000009</v>
      </c>
      <c r="G58" s="11">
        <v>18.123947500000011</v>
      </c>
      <c r="H58" s="11">
        <v>11.87418900000001</v>
      </c>
      <c r="I58" s="14">
        <v>5.6244305000000061</v>
      </c>
      <c r="J58" s="24" t="s">
        <v>324</v>
      </c>
      <c r="K58" s="24" t="s">
        <v>324</v>
      </c>
      <c r="L58" s="24" t="s">
        <v>324</v>
      </c>
      <c r="M58" s="24" t="s">
        <v>324</v>
      </c>
      <c r="N58" s="24" t="s">
        <v>324</v>
      </c>
      <c r="O58" s="6" t="s">
        <v>324</v>
      </c>
    </row>
    <row r="61" spans="1:15" ht="23" customHeight="1" x14ac:dyDescent="0.2">
      <c r="A61" s="69" t="s">
        <v>325</v>
      </c>
      <c r="B61" s="70"/>
      <c r="C61" s="70"/>
      <c r="D61" s="70"/>
      <c r="E61" s="70"/>
      <c r="F61" s="70"/>
      <c r="G61" s="70"/>
      <c r="H61" s="70"/>
      <c r="I61" s="70"/>
      <c r="J61" s="70"/>
    </row>
    <row r="62" spans="1:15" ht="16" x14ac:dyDescent="0.2">
      <c r="A62" s="1" t="s">
        <v>43</v>
      </c>
      <c r="B62" s="1" t="s">
        <v>326</v>
      </c>
      <c r="C62" s="1" t="s">
        <v>32</v>
      </c>
      <c r="D62" s="1" t="s">
        <v>327</v>
      </c>
      <c r="E62" s="1" t="s">
        <v>35</v>
      </c>
      <c r="F62" s="1" t="s">
        <v>218</v>
      </c>
      <c r="G62" s="1" t="s">
        <v>328</v>
      </c>
      <c r="H62" s="1" t="s">
        <v>329</v>
      </c>
      <c r="I62" s="1" t="s">
        <v>330</v>
      </c>
      <c r="J62" s="1" t="s">
        <v>251</v>
      </c>
    </row>
    <row r="63" spans="1:15" x14ac:dyDescent="0.2">
      <c r="A63" s="31" t="s">
        <v>99</v>
      </c>
      <c r="B63" s="2">
        <v>99.344945351932537</v>
      </c>
      <c r="C63" s="2">
        <v>2.38625</v>
      </c>
      <c r="D63" s="2">
        <v>2.3474374999999998</v>
      </c>
      <c r="E63" s="2">
        <v>0.8622527499999999</v>
      </c>
      <c r="F63" s="2">
        <v>15</v>
      </c>
      <c r="G63" s="26">
        <v>78.749005101932539</v>
      </c>
      <c r="H63" s="16">
        <v>94</v>
      </c>
      <c r="I63" s="46">
        <v>-15.250994898067461</v>
      </c>
      <c r="J63" t="s">
        <v>331</v>
      </c>
    </row>
    <row r="64" spans="1:15" x14ac:dyDescent="0.2">
      <c r="A64" s="31" t="s">
        <v>100</v>
      </c>
      <c r="B64" s="2">
        <v>129.51381295682049</v>
      </c>
      <c r="C64" s="2">
        <v>2.7829999999999999</v>
      </c>
      <c r="D64" s="2">
        <v>4.4904624999999996</v>
      </c>
      <c r="E64" s="2">
        <v>5.3192329999999997</v>
      </c>
      <c r="F64" s="2">
        <v>15</v>
      </c>
      <c r="G64" s="26">
        <v>101.9211174568206</v>
      </c>
      <c r="H64" s="16">
        <v>78.078486916666662</v>
      </c>
      <c r="I64" s="47">
        <v>23.842630540153891</v>
      </c>
      <c r="J64" t="s">
        <v>332</v>
      </c>
    </row>
    <row r="65" spans="1:10" x14ac:dyDescent="0.2">
      <c r="A65" s="31" t="s">
        <v>101</v>
      </c>
      <c r="B65" s="2">
        <v>119.13901719254309</v>
      </c>
      <c r="C65" s="2">
        <v>2.7303875</v>
      </c>
      <c r="D65" s="2">
        <v>11.131425</v>
      </c>
      <c r="E65" s="2">
        <v>7.7186622874999999</v>
      </c>
      <c r="F65" s="2">
        <v>15</v>
      </c>
      <c r="G65" s="26">
        <v>82.558542405043056</v>
      </c>
      <c r="H65" s="16">
        <v>77.27693136111111</v>
      </c>
      <c r="I65" s="48">
        <v>5.2816110439319459</v>
      </c>
      <c r="J65" t="s">
        <v>333</v>
      </c>
    </row>
    <row r="66" spans="1:10" x14ac:dyDescent="0.2">
      <c r="A66" s="31" t="s">
        <v>102</v>
      </c>
      <c r="B66" s="2">
        <v>121.5157975242269</v>
      </c>
      <c r="C66" s="2">
        <v>2.9526249999999998</v>
      </c>
      <c r="D66" s="2">
        <v>2.3790624999999999</v>
      </c>
      <c r="E66" s="2">
        <v>4.4395749999999996</v>
      </c>
      <c r="F66" s="2">
        <v>15</v>
      </c>
      <c r="G66" s="26">
        <v>96.74453502422692</v>
      </c>
      <c r="H66" s="16">
        <v>77.27693136111111</v>
      </c>
      <c r="I66" s="47">
        <v>19.46760366311581</v>
      </c>
      <c r="J66" t="s">
        <v>332</v>
      </c>
    </row>
    <row r="67" spans="1:10" x14ac:dyDescent="0.2">
      <c r="A67" s="31" t="s">
        <v>103</v>
      </c>
      <c r="B67" s="2">
        <v>105.0713387814512</v>
      </c>
      <c r="C67" s="2">
        <v>2.2640625000000001</v>
      </c>
      <c r="D67" s="2">
        <v>2.0875374999999998</v>
      </c>
      <c r="E67" s="2">
        <v>8.1744874999999997</v>
      </c>
      <c r="F67" s="2">
        <v>15</v>
      </c>
      <c r="G67" s="26">
        <v>77.545251281451243</v>
      </c>
      <c r="H67" s="16">
        <v>77.27693136111111</v>
      </c>
      <c r="I67" s="48">
        <v>0.26831992034013302</v>
      </c>
      <c r="J67" t="s">
        <v>333</v>
      </c>
    </row>
    <row r="68" spans="1:10" x14ac:dyDescent="0.2">
      <c r="A68" s="31" t="s">
        <v>104</v>
      </c>
      <c r="B68" s="2">
        <v>126.81331597376079</v>
      </c>
      <c r="C68" s="2">
        <v>2.7025000000000001</v>
      </c>
      <c r="D68" s="2">
        <v>4.4211749999999999</v>
      </c>
      <c r="E68" s="2">
        <v>2.6737500000000001</v>
      </c>
      <c r="F68" s="2">
        <v>15</v>
      </c>
      <c r="G68" s="26">
        <v>102.0158909737608</v>
      </c>
      <c r="H68" s="16">
        <v>77.27693136111111</v>
      </c>
      <c r="I68" s="47">
        <v>24.738959612649719</v>
      </c>
      <c r="J68" t="s">
        <v>332</v>
      </c>
    </row>
    <row r="69" spans="1:10" x14ac:dyDescent="0.2">
      <c r="A69" s="31" t="s">
        <v>105</v>
      </c>
      <c r="B69" s="2">
        <v>147.90387618640511</v>
      </c>
      <c r="C69" s="2">
        <v>2.0171000000000001</v>
      </c>
      <c r="D69" s="2">
        <v>6.9244374999999998</v>
      </c>
      <c r="E69" s="2">
        <v>2.2111624999999999</v>
      </c>
      <c r="F69" s="2">
        <v>15</v>
      </c>
      <c r="G69" s="26">
        <v>121.7511761864051</v>
      </c>
      <c r="H69" s="16">
        <v>76.786181361111119</v>
      </c>
      <c r="I69" s="47">
        <v>44.964994825294013</v>
      </c>
      <c r="J69" t="s">
        <v>332</v>
      </c>
    </row>
    <row r="70" spans="1:10" x14ac:dyDescent="0.2">
      <c r="A70" s="31" t="s">
        <v>106</v>
      </c>
      <c r="B70" s="2">
        <v>114.70804213594501</v>
      </c>
      <c r="C70" s="2">
        <v>2.97275</v>
      </c>
      <c r="D70" s="2">
        <v>7.8645624999999999</v>
      </c>
      <c r="E70" s="2">
        <v>6.2231545625000004</v>
      </c>
      <c r="F70" s="2">
        <v>15</v>
      </c>
      <c r="G70" s="26">
        <v>82.647575073445012</v>
      </c>
      <c r="H70" s="16">
        <v>76.786181361111119</v>
      </c>
      <c r="I70" s="48">
        <v>5.8613937123338928</v>
      </c>
      <c r="J70" t="s">
        <v>333</v>
      </c>
    </row>
    <row r="71" spans="1:10" x14ac:dyDescent="0.2">
      <c r="A71" s="31" t="s">
        <v>107</v>
      </c>
      <c r="B71" s="2">
        <v>114.829409745928</v>
      </c>
      <c r="C71" s="2">
        <v>3.2306374999999998</v>
      </c>
      <c r="D71" s="2">
        <v>9.7255499999999984</v>
      </c>
      <c r="E71" s="2">
        <v>5.8928874999999996</v>
      </c>
      <c r="F71" s="2">
        <v>15</v>
      </c>
      <c r="G71" s="26">
        <v>80.980334745928019</v>
      </c>
      <c r="H71" s="16">
        <v>70.53642286111112</v>
      </c>
      <c r="I71" s="47">
        <v>10.443911884816901</v>
      </c>
      <c r="J71" t="s">
        <v>332</v>
      </c>
    </row>
    <row r="72" spans="1:10" x14ac:dyDescent="0.2">
      <c r="A72" s="31" t="s">
        <v>108</v>
      </c>
      <c r="B72" s="2">
        <v>104.46521729558479</v>
      </c>
      <c r="C72" s="2">
        <v>3.4580499999999992</v>
      </c>
      <c r="D72" s="2">
        <v>4.0324749999999998</v>
      </c>
      <c r="E72" s="2">
        <v>2.48960625</v>
      </c>
      <c r="F72" s="2">
        <v>15</v>
      </c>
      <c r="G72" s="26">
        <v>79.485086045584836</v>
      </c>
      <c r="H72" s="16">
        <v>70.53642286111112</v>
      </c>
      <c r="I72" s="48">
        <v>8.9486631844737161</v>
      </c>
      <c r="J72" t="s">
        <v>333</v>
      </c>
    </row>
    <row r="73" spans="1:10" x14ac:dyDescent="0.2">
      <c r="A73" s="31" t="s">
        <v>109</v>
      </c>
      <c r="B73" s="2">
        <v>108.343519208402</v>
      </c>
      <c r="C73" s="2">
        <v>4.1558124999999997</v>
      </c>
      <c r="D73" s="2">
        <v>3.4974374999999989</v>
      </c>
      <c r="E73" s="2">
        <v>2.7735124999999989</v>
      </c>
      <c r="F73" s="2">
        <v>15</v>
      </c>
      <c r="G73" s="26">
        <v>82.916756708402033</v>
      </c>
      <c r="H73" s="16">
        <v>70.53642286111112</v>
      </c>
      <c r="I73" s="47">
        <v>12.38033384729091</v>
      </c>
      <c r="J73" t="s">
        <v>332</v>
      </c>
    </row>
    <row r="74" spans="1:10" x14ac:dyDescent="0.2">
      <c r="A74" s="31" t="s">
        <v>110</v>
      </c>
      <c r="B74" s="2">
        <v>99.780185569050943</v>
      </c>
      <c r="C74" s="2">
        <v>1.5122500000000001</v>
      </c>
      <c r="D74" s="2">
        <v>3.6854624999999999</v>
      </c>
      <c r="E74" s="2">
        <v>1.4415249999999999</v>
      </c>
      <c r="F74" s="2">
        <v>15</v>
      </c>
      <c r="G74" s="26">
        <v>78.14094806905095</v>
      </c>
      <c r="H74" s="16">
        <v>27.69762033333333</v>
      </c>
      <c r="I74" s="47">
        <v>50.443327735717617</v>
      </c>
      <c r="J74" t="s">
        <v>332</v>
      </c>
    </row>
    <row r="75" spans="1:10" x14ac:dyDescent="0.2">
      <c r="A75" s="27" t="s">
        <v>334</v>
      </c>
      <c r="B75" s="28">
        <v>1391.4284779220509</v>
      </c>
      <c r="C75" s="28">
        <v>33.165424999999999</v>
      </c>
      <c r="D75" s="28">
        <v>62.58702499999999</v>
      </c>
      <c r="E75" s="28">
        <v>50.21980885</v>
      </c>
      <c r="F75" s="28">
        <v>180</v>
      </c>
      <c r="G75" s="28">
        <v>1065.456219072051</v>
      </c>
      <c r="H75" s="28">
        <v>874.06546400000002</v>
      </c>
      <c r="I75" s="28">
        <v>191.39075507205109</v>
      </c>
    </row>
    <row r="78" spans="1:10" ht="16" x14ac:dyDescent="0.2">
      <c r="A78" s="63" t="s">
        <v>335</v>
      </c>
      <c r="B78" s="54"/>
      <c r="C78" s="54"/>
      <c r="D78" s="54"/>
      <c r="E78" s="54"/>
    </row>
    <row r="79" spans="1:10" x14ac:dyDescent="0.2">
      <c r="A79" s="31" t="s">
        <v>256</v>
      </c>
      <c r="B79" s="35">
        <v>725.83239114500009</v>
      </c>
      <c r="C79" s="17" t="s">
        <v>336</v>
      </c>
    </row>
    <row r="80" spans="1:10" x14ac:dyDescent="0.2">
      <c r="A80" s="31" t="s">
        <v>337</v>
      </c>
      <c r="B80" s="35">
        <v>94</v>
      </c>
      <c r="C80" s="17" t="s">
        <v>336</v>
      </c>
    </row>
    <row r="81" spans="1:3" x14ac:dyDescent="0.2">
      <c r="A81" s="31" t="s">
        <v>338</v>
      </c>
      <c r="B81" s="35">
        <v>1128</v>
      </c>
      <c r="C81" s="17" t="s">
        <v>336</v>
      </c>
    </row>
    <row r="82" spans="1:3" x14ac:dyDescent="0.2">
      <c r="A82" s="31" t="s">
        <v>339</v>
      </c>
      <c r="B82" s="35">
        <v>204.0643813333333</v>
      </c>
      <c r="C82" s="17" t="s">
        <v>336</v>
      </c>
    </row>
    <row r="83" spans="1:3" x14ac:dyDescent="0.2">
      <c r="A83" s="31" t="s">
        <v>340</v>
      </c>
      <c r="B83" s="49">
        <v>5</v>
      </c>
      <c r="C83" s="17" t="s">
        <v>341</v>
      </c>
    </row>
    <row r="84" spans="1:3" x14ac:dyDescent="0.2">
      <c r="A84" s="31" t="s">
        <v>342</v>
      </c>
      <c r="B84" s="50">
        <v>8</v>
      </c>
      <c r="C84" s="17" t="s">
        <v>341</v>
      </c>
    </row>
    <row r="85" spans="1:3" x14ac:dyDescent="0.2">
      <c r="A85" s="31" t="s">
        <v>343</v>
      </c>
      <c r="B85" s="32">
        <v>55.18376044</v>
      </c>
      <c r="C85" s="17" t="s">
        <v>336</v>
      </c>
    </row>
    <row r="86" spans="1:3" x14ac:dyDescent="0.2">
      <c r="A86" s="31" t="s">
        <v>344</v>
      </c>
      <c r="B86" s="51">
        <v>670.64863070499996</v>
      </c>
      <c r="C86" s="17" t="s">
        <v>336</v>
      </c>
    </row>
    <row r="87" spans="1:3" x14ac:dyDescent="0.2">
      <c r="A87" s="31" t="s">
        <v>345</v>
      </c>
      <c r="B87" s="35">
        <v>191.39075507205109</v>
      </c>
      <c r="C87" s="17" t="s">
        <v>336</v>
      </c>
    </row>
  </sheetData>
  <mergeCells count="8">
    <mergeCell ref="A2:R2"/>
    <mergeCell ref="A1:R1"/>
    <mergeCell ref="A24:P24"/>
    <mergeCell ref="A3:R3"/>
    <mergeCell ref="A43:O43"/>
    <mergeCell ref="A78:E78"/>
    <mergeCell ref="A61:J61"/>
    <mergeCell ref="A5:I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0"/>
  <sheetViews>
    <sheetView rightToLeft="1" workbookViewId="0"/>
  </sheetViews>
  <sheetFormatPr baseColWidth="10" defaultColWidth="8.83203125" defaultRowHeight="15" x14ac:dyDescent="0.2"/>
  <cols>
    <col min="1" max="1" width="49" customWidth="1"/>
    <col min="2" max="2" width="21" customWidth="1"/>
    <col min="3" max="3" width="14" customWidth="1"/>
    <col min="4" max="4" width="20" customWidth="1"/>
    <col min="5" max="5" width="19" customWidth="1"/>
    <col min="6" max="7" width="12" customWidth="1"/>
  </cols>
  <sheetData>
    <row r="1" spans="1:7" ht="19" x14ac:dyDescent="0.25">
      <c r="A1" s="60" t="s">
        <v>346</v>
      </c>
      <c r="B1" s="54"/>
      <c r="C1" s="54"/>
      <c r="D1" s="54"/>
      <c r="E1" s="54"/>
      <c r="F1" s="54"/>
      <c r="G1" s="54"/>
    </row>
    <row r="3" spans="1:7" x14ac:dyDescent="0.2">
      <c r="A3" s="62" t="s">
        <v>347</v>
      </c>
      <c r="B3" s="54"/>
      <c r="C3" s="54"/>
      <c r="D3" s="54"/>
      <c r="E3" s="54"/>
      <c r="F3" s="54"/>
      <c r="G3" s="54"/>
    </row>
    <row r="4" spans="1:7" ht="16" x14ac:dyDescent="0.2">
      <c r="A4" s="1" t="s">
        <v>43</v>
      </c>
      <c r="B4" s="1" t="s">
        <v>348</v>
      </c>
      <c r="C4" s="1" t="s">
        <v>349</v>
      </c>
      <c r="D4" s="1" t="s">
        <v>350</v>
      </c>
      <c r="E4" s="1" t="s">
        <v>351</v>
      </c>
      <c r="F4" s="1" t="s">
        <v>352</v>
      </c>
    </row>
    <row r="5" spans="1:7" x14ac:dyDescent="0.2">
      <c r="A5" s="10" t="s">
        <v>51</v>
      </c>
      <c r="B5" s="52">
        <v>2131</v>
      </c>
      <c r="C5" s="52">
        <v>2124</v>
      </c>
      <c r="D5" s="52">
        <v>7</v>
      </c>
      <c r="E5" s="52">
        <v>2082</v>
      </c>
      <c r="F5" s="52">
        <v>49</v>
      </c>
    </row>
    <row r="6" spans="1:7" x14ac:dyDescent="0.2">
      <c r="A6" s="10" t="s">
        <v>52</v>
      </c>
      <c r="B6" s="52">
        <v>3105</v>
      </c>
      <c r="C6" s="52">
        <v>3101</v>
      </c>
      <c r="D6" s="52">
        <v>4</v>
      </c>
      <c r="E6" s="52">
        <v>3063</v>
      </c>
      <c r="F6" s="52">
        <v>42</v>
      </c>
    </row>
    <row r="7" spans="1:7" x14ac:dyDescent="0.2">
      <c r="A7" s="10" t="s">
        <v>53</v>
      </c>
      <c r="B7" s="52">
        <v>2976</v>
      </c>
      <c r="C7" s="52">
        <v>2972</v>
      </c>
      <c r="D7" s="52">
        <v>4</v>
      </c>
      <c r="E7" s="52">
        <v>2917</v>
      </c>
      <c r="F7" s="52">
        <v>59</v>
      </c>
    </row>
    <row r="8" spans="1:7" x14ac:dyDescent="0.2">
      <c r="A8" s="10" t="s">
        <v>54</v>
      </c>
      <c r="B8" s="52">
        <v>2994</v>
      </c>
      <c r="C8" s="52">
        <v>2990</v>
      </c>
      <c r="D8" s="52">
        <v>4</v>
      </c>
      <c r="E8" s="52">
        <v>2944</v>
      </c>
      <c r="F8" s="52">
        <v>50</v>
      </c>
    </row>
    <row r="9" spans="1:7" x14ac:dyDescent="0.2">
      <c r="A9" s="10" t="s">
        <v>55</v>
      </c>
      <c r="B9" s="52">
        <v>2726</v>
      </c>
      <c r="C9" s="52">
        <v>2724</v>
      </c>
      <c r="D9" s="52">
        <v>2</v>
      </c>
      <c r="E9" s="52">
        <v>2688</v>
      </c>
      <c r="F9" s="52">
        <v>38</v>
      </c>
    </row>
    <row r="10" spans="1:7" x14ac:dyDescent="0.2">
      <c r="A10" s="10" t="s">
        <v>56</v>
      </c>
      <c r="B10" s="52">
        <v>2918</v>
      </c>
      <c r="C10" s="52">
        <v>2911</v>
      </c>
      <c r="D10" s="52">
        <v>7</v>
      </c>
      <c r="E10" s="52">
        <v>2867</v>
      </c>
      <c r="F10" s="52">
        <v>51</v>
      </c>
    </row>
    <row r="11" spans="1:7" x14ac:dyDescent="0.2">
      <c r="A11" s="10" t="s">
        <v>57</v>
      </c>
      <c r="B11" s="52">
        <v>2868</v>
      </c>
      <c r="C11" s="52">
        <v>2866</v>
      </c>
      <c r="D11" s="52">
        <v>2</v>
      </c>
      <c r="E11" s="52">
        <v>2819</v>
      </c>
      <c r="F11" s="52">
        <v>49</v>
      </c>
    </row>
    <row r="12" spans="1:7" x14ac:dyDescent="0.2">
      <c r="A12" s="10" t="s">
        <v>58</v>
      </c>
      <c r="B12" s="52">
        <v>3706</v>
      </c>
      <c r="C12" s="52">
        <v>3701</v>
      </c>
      <c r="D12" s="52">
        <v>5</v>
      </c>
      <c r="E12" s="52">
        <v>3632</v>
      </c>
      <c r="F12" s="52">
        <v>74</v>
      </c>
    </row>
    <row r="13" spans="1:7" x14ac:dyDescent="0.2">
      <c r="A13" s="10" t="s">
        <v>59</v>
      </c>
      <c r="B13" s="52">
        <v>3424</v>
      </c>
      <c r="C13" s="52">
        <v>3416</v>
      </c>
      <c r="D13" s="52">
        <v>8</v>
      </c>
      <c r="E13" s="52">
        <v>3359</v>
      </c>
      <c r="F13" s="52">
        <v>65</v>
      </c>
    </row>
    <row r="14" spans="1:7" x14ac:dyDescent="0.2">
      <c r="A14" s="10" t="s">
        <v>60</v>
      </c>
      <c r="B14" s="52">
        <v>3332</v>
      </c>
      <c r="C14" s="52">
        <v>3328</v>
      </c>
      <c r="D14" s="52">
        <v>4</v>
      </c>
      <c r="E14" s="52">
        <v>3281</v>
      </c>
      <c r="F14" s="52">
        <v>51</v>
      </c>
    </row>
    <row r="15" spans="1:7" x14ac:dyDescent="0.2">
      <c r="A15" s="10" t="s">
        <v>61</v>
      </c>
      <c r="B15" s="52">
        <v>3834</v>
      </c>
      <c r="C15" s="52">
        <v>3831</v>
      </c>
      <c r="D15" s="52">
        <v>3</v>
      </c>
      <c r="E15" s="52">
        <v>3794</v>
      </c>
      <c r="F15" s="52">
        <v>40</v>
      </c>
    </row>
    <row r="16" spans="1:7" x14ac:dyDescent="0.2">
      <c r="A16" s="10" t="s">
        <v>62</v>
      </c>
      <c r="B16" s="52">
        <v>3370</v>
      </c>
      <c r="C16" s="52">
        <v>3361</v>
      </c>
      <c r="D16" s="52">
        <v>9</v>
      </c>
      <c r="E16" s="52">
        <v>3303</v>
      </c>
      <c r="F16" s="52">
        <v>67</v>
      </c>
    </row>
    <row r="17" spans="1:6" x14ac:dyDescent="0.2">
      <c r="A17" s="10" t="s">
        <v>63</v>
      </c>
      <c r="B17" s="52">
        <v>2917</v>
      </c>
      <c r="C17" s="52">
        <v>2916</v>
      </c>
      <c r="D17" s="52">
        <v>1</v>
      </c>
      <c r="E17" s="52">
        <v>2894</v>
      </c>
      <c r="F17" s="52">
        <v>23</v>
      </c>
    </row>
    <row r="18" spans="1:6" x14ac:dyDescent="0.2">
      <c r="A18" s="10" t="s">
        <v>64</v>
      </c>
      <c r="B18" s="52">
        <v>3615</v>
      </c>
      <c r="C18" s="52">
        <v>3612</v>
      </c>
      <c r="D18" s="52">
        <v>3</v>
      </c>
      <c r="E18" s="52">
        <v>3551</v>
      </c>
      <c r="F18" s="52">
        <v>64</v>
      </c>
    </row>
    <row r="19" spans="1:6" x14ac:dyDescent="0.2">
      <c r="A19" s="10" t="s">
        <v>65</v>
      </c>
      <c r="B19" s="52">
        <v>3185</v>
      </c>
      <c r="C19" s="52">
        <v>3184</v>
      </c>
      <c r="D19" s="52">
        <v>1</v>
      </c>
      <c r="E19" s="52">
        <v>3138</v>
      </c>
      <c r="F19" s="52">
        <v>47</v>
      </c>
    </row>
    <row r="20" spans="1:6" x14ac:dyDescent="0.2">
      <c r="A20" s="10" t="s">
        <v>66</v>
      </c>
      <c r="B20" s="52">
        <v>3461</v>
      </c>
      <c r="C20" s="52">
        <v>3459</v>
      </c>
      <c r="D20" s="52">
        <v>2</v>
      </c>
      <c r="E20" s="52">
        <v>3395</v>
      </c>
      <c r="F20" s="52">
        <v>66</v>
      </c>
    </row>
    <row r="21" spans="1:6" x14ac:dyDescent="0.2">
      <c r="A21" s="10" t="s">
        <v>67</v>
      </c>
      <c r="B21" s="52">
        <v>3037</v>
      </c>
      <c r="C21" s="52">
        <v>3034</v>
      </c>
      <c r="D21" s="52">
        <v>3</v>
      </c>
      <c r="E21" s="52">
        <v>2983</v>
      </c>
      <c r="F21" s="52">
        <v>54</v>
      </c>
    </row>
    <row r="22" spans="1:6" x14ac:dyDescent="0.2">
      <c r="A22" s="10" t="s">
        <v>68</v>
      </c>
      <c r="B22" s="52">
        <v>2969</v>
      </c>
      <c r="C22" s="52">
        <v>2966</v>
      </c>
      <c r="D22" s="52">
        <v>3</v>
      </c>
      <c r="E22" s="52">
        <v>2924</v>
      </c>
      <c r="F22" s="52">
        <v>45</v>
      </c>
    </row>
    <row r="23" spans="1:6" x14ac:dyDescent="0.2">
      <c r="A23" s="10" t="s">
        <v>69</v>
      </c>
      <c r="B23" s="52">
        <v>3047</v>
      </c>
      <c r="C23" s="52">
        <v>3044</v>
      </c>
      <c r="D23" s="52">
        <v>3</v>
      </c>
      <c r="E23" s="52">
        <v>2996</v>
      </c>
      <c r="F23" s="52">
        <v>51</v>
      </c>
    </row>
    <row r="24" spans="1:6" x14ac:dyDescent="0.2">
      <c r="A24" s="10" t="s">
        <v>70</v>
      </c>
      <c r="B24" s="52">
        <v>3714</v>
      </c>
      <c r="C24" s="52">
        <v>3711</v>
      </c>
      <c r="D24" s="52">
        <v>3</v>
      </c>
      <c r="E24" s="52">
        <v>3676</v>
      </c>
      <c r="F24" s="52">
        <v>38</v>
      </c>
    </row>
    <row r="25" spans="1:6" x14ac:dyDescent="0.2">
      <c r="A25" s="10" t="s">
        <v>71</v>
      </c>
      <c r="B25" s="52">
        <v>3691</v>
      </c>
      <c r="C25" s="52">
        <v>3687</v>
      </c>
      <c r="D25" s="52">
        <v>4</v>
      </c>
      <c r="E25" s="52">
        <v>3652</v>
      </c>
      <c r="F25" s="52">
        <v>39</v>
      </c>
    </row>
    <row r="26" spans="1:6" x14ac:dyDescent="0.2">
      <c r="A26" s="10" t="s">
        <v>72</v>
      </c>
      <c r="B26" s="52">
        <v>3651</v>
      </c>
      <c r="C26" s="52">
        <v>3648</v>
      </c>
      <c r="D26" s="52">
        <v>3</v>
      </c>
      <c r="E26" s="52">
        <v>3613</v>
      </c>
      <c r="F26" s="52">
        <v>38</v>
      </c>
    </row>
    <row r="27" spans="1:6" x14ac:dyDescent="0.2">
      <c r="A27" s="10" t="s">
        <v>73</v>
      </c>
      <c r="B27" s="52">
        <v>3660</v>
      </c>
      <c r="C27" s="52">
        <v>3658</v>
      </c>
      <c r="D27" s="52">
        <v>2</v>
      </c>
      <c r="E27" s="52">
        <v>3614</v>
      </c>
      <c r="F27" s="52">
        <v>46</v>
      </c>
    </row>
    <row r="28" spans="1:6" x14ac:dyDescent="0.2">
      <c r="A28" s="10" t="s">
        <v>74</v>
      </c>
      <c r="B28" s="52">
        <v>3685</v>
      </c>
      <c r="C28" s="52">
        <v>3682</v>
      </c>
      <c r="D28" s="52">
        <v>3</v>
      </c>
      <c r="E28" s="52">
        <v>3643</v>
      </c>
      <c r="F28" s="52">
        <v>42</v>
      </c>
    </row>
    <row r="29" spans="1:6" x14ac:dyDescent="0.2">
      <c r="A29" s="10" t="s">
        <v>75</v>
      </c>
      <c r="B29" s="52">
        <v>4364</v>
      </c>
      <c r="C29" s="52">
        <v>4359</v>
      </c>
      <c r="D29" s="52">
        <v>5</v>
      </c>
      <c r="E29" s="52">
        <v>4328</v>
      </c>
      <c r="F29" s="52">
        <v>36</v>
      </c>
    </row>
    <row r="30" spans="1:6" x14ac:dyDescent="0.2">
      <c r="A30" s="10" t="s">
        <v>76</v>
      </c>
      <c r="B30" s="52">
        <v>3912</v>
      </c>
      <c r="C30" s="52">
        <v>3909</v>
      </c>
      <c r="D30" s="52">
        <v>3</v>
      </c>
      <c r="E30" s="52">
        <v>3846</v>
      </c>
      <c r="F30" s="52">
        <v>66</v>
      </c>
    </row>
    <row r="31" spans="1:6" x14ac:dyDescent="0.2">
      <c r="A31" s="10" t="s">
        <v>77</v>
      </c>
      <c r="B31" s="52">
        <v>4367</v>
      </c>
      <c r="C31" s="52">
        <v>4366</v>
      </c>
      <c r="D31" s="52">
        <v>1</v>
      </c>
      <c r="E31" s="52">
        <v>4325</v>
      </c>
      <c r="F31" s="52">
        <v>42</v>
      </c>
    </row>
    <row r="32" spans="1:6" x14ac:dyDescent="0.2">
      <c r="A32" s="10" t="s">
        <v>78</v>
      </c>
      <c r="B32" s="52">
        <v>3946</v>
      </c>
      <c r="C32" s="52">
        <v>3943</v>
      </c>
      <c r="D32" s="52">
        <v>3</v>
      </c>
      <c r="E32" s="52">
        <v>3887</v>
      </c>
      <c r="F32" s="52">
        <v>59</v>
      </c>
    </row>
    <row r="33" spans="1:6" x14ac:dyDescent="0.2">
      <c r="A33" s="10" t="s">
        <v>79</v>
      </c>
      <c r="B33" s="52">
        <v>3387</v>
      </c>
      <c r="C33" s="52">
        <v>3385</v>
      </c>
      <c r="D33" s="52">
        <v>2</v>
      </c>
      <c r="E33" s="52">
        <v>3363</v>
      </c>
      <c r="F33" s="52">
        <v>24</v>
      </c>
    </row>
    <row r="34" spans="1:6" x14ac:dyDescent="0.2">
      <c r="A34" s="10" t="s">
        <v>80</v>
      </c>
      <c r="B34" s="52">
        <v>3497</v>
      </c>
      <c r="C34" s="52">
        <v>3496</v>
      </c>
      <c r="D34" s="52">
        <v>1</v>
      </c>
      <c r="E34" s="52">
        <v>3461</v>
      </c>
      <c r="F34" s="52">
        <v>36</v>
      </c>
    </row>
    <row r="35" spans="1:6" x14ac:dyDescent="0.2">
      <c r="A35" s="10" t="s">
        <v>81</v>
      </c>
      <c r="B35" s="52">
        <v>3232</v>
      </c>
      <c r="C35" s="52">
        <v>3228</v>
      </c>
      <c r="D35" s="52">
        <v>4</v>
      </c>
      <c r="E35" s="52">
        <v>3192</v>
      </c>
      <c r="F35" s="52">
        <v>40</v>
      </c>
    </row>
    <row r="36" spans="1:6" x14ac:dyDescent="0.2">
      <c r="A36" s="10" t="s">
        <v>82</v>
      </c>
      <c r="B36" s="52">
        <v>3728</v>
      </c>
      <c r="C36" s="52">
        <v>3725</v>
      </c>
      <c r="D36" s="52">
        <v>3</v>
      </c>
      <c r="E36" s="52">
        <v>3661</v>
      </c>
      <c r="F36" s="52">
        <v>67</v>
      </c>
    </row>
    <row r="37" spans="1:6" x14ac:dyDescent="0.2">
      <c r="A37" s="10" t="s">
        <v>83</v>
      </c>
      <c r="B37" s="52">
        <v>3143</v>
      </c>
      <c r="C37" s="52">
        <v>3135</v>
      </c>
      <c r="D37" s="52">
        <v>8</v>
      </c>
      <c r="E37" s="52">
        <v>3074</v>
      </c>
      <c r="F37" s="52">
        <v>69</v>
      </c>
    </row>
    <row r="38" spans="1:6" x14ac:dyDescent="0.2">
      <c r="A38" s="10" t="s">
        <v>84</v>
      </c>
      <c r="B38" s="52">
        <v>3396</v>
      </c>
      <c r="C38" s="52">
        <v>3395</v>
      </c>
      <c r="D38" s="52">
        <v>1</v>
      </c>
      <c r="E38" s="52">
        <v>3376</v>
      </c>
      <c r="F38" s="52">
        <v>20</v>
      </c>
    </row>
    <row r="39" spans="1:6" x14ac:dyDescent="0.2">
      <c r="A39" s="10" t="s">
        <v>85</v>
      </c>
      <c r="B39" s="52">
        <v>3358</v>
      </c>
      <c r="C39" s="52">
        <v>3351</v>
      </c>
      <c r="D39" s="52">
        <v>7</v>
      </c>
      <c r="E39" s="52">
        <v>3302</v>
      </c>
      <c r="F39" s="52">
        <v>56</v>
      </c>
    </row>
    <row r="40" spans="1:6" x14ac:dyDescent="0.2">
      <c r="A40" s="10" t="s">
        <v>86</v>
      </c>
      <c r="B40" s="52">
        <v>2370</v>
      </c>
      <c r="C40" s="52">
        <v>2365</v>
      </c>
      <c r="D40" s="52">
        <v>5</v>
      </c>
      <c r="E40" s="52">
        <v>2337</v>
      </c>
      <c r="F40" s="52">
        <v>33</v>
      </c>
    </row>
    <row r="41" spans="1:6" x14ac:dyDescent="0.2">
      <c r="A41" s="10" t="s">
        <v>87</v>
      </c>
      <c r="B41" s="52">
        <v>3010</v>
      </c>
      <c r="C41" s="52">
        <v>3005</v>
      </c>
      <c r="D41" s="52">
        <v>5</v>
      </c>
      <c r="E41" s="52">
        <v>2974</v>
      </c>
      <c r="F41" s="52">
        <v>36</v>
      </c>
    </row>
    <row r="42" spans="1:6" x14ac:dyDescent="0.2">
      <c r="A42" s="10" t="s">
        <v>88</v>
      </c>
      <c r="B42" s="52">
        <v>3525</v>
      </c>
      <c r="C42" s="52">
        <v>3519</v>
      </c>
      <c r="D42" s="52">
        <v>6</v>
      </c>
      <c r="E42" s="52">
        <v>3494</v>
      </c>
      <c r="F42" s="52">
        <v>31</v>
      </c>
    </row>
    <row r="43" spans="1:6" x14ac:dyDescent="0.2">
      <c r="A43" s="10" t="s">
        <v>89</v>
      </c>
      <c r="B43" s="52">
        <v>6810</v>
      </c>
      <c r="C43" s="52">
        <v>6806</v>
      </c>
      <c r="D43" s="52">
        <v>4</v>
      </c>
      <c r="E43" s="52">
        <v>6765</v>
      </c>
      <c r="F43" s="52">
        <v>45</v>
      </c>
    </row>
    <row r="44" spans="1:6" x14ac:dyDescent="0.2">
      <c r="A44" s="10" t="s">
        <v>90</v>
      </c>
      <c r="B44" s="52">
        <v>3256</v>
      </c>
      <c r="C44" s="52">
        <v>3251</v>
      </c>
      <c r="D44" s="52">
        <v>5</v>
      </c>
      <c r="E44" s="52">
        <v>3215</v>
      </c>
      <c r="F44" s="52">
        <v>41</v>
      </c>
    </row>
    <row r="45" spans="1:6" x14ac:dyDescent="0.2">
      <c r="A45" s="10" t="s">
        <v>91</v>
      </c>
      <c r="B45" s="52">
        <v>5455</v>
      </c>
      <c r="C45" s="52">
        <v>5451</v>
      </c>
      <c r="D45" s="52">
        <v>4</v>
      </c>
      <c r="E45" s="52">
        <v>5418</v>
      </c>
      <c r="F45" s="52">
        <v>37</v>
      </c>
    </row>
    <row r="46" spans="1:6" x14ac:dyDescent="0.2">
      <c r="A46" s="10" t="s">
        <v>92</v>
      </c>
      <c r="B46" s="52">
        <v>4134</v>
      </c>
      <c r="C46" s="52">
        <v>4126</v>
      </c>
      <c r="D46" s="52">
        <v>8</v>
      </c>
      <c r="E46" s="52">
        <v>4086</v>
      </c>
      <c r="F46" s="52">
        <v>48</v>
      </c>
    </row>
    <row r="47" spans="1:6" x14ac:dyDescent="0.2">
      <c r="A47" s="10" t="s">
        <v>93</v>
      </c>
      <c r="B47" s="52">
        <v>4068</v>
      </c>
      <c r="C47" s="52">
        <v>4064</v>
      </c>
      <c r="D47" s="52">
        <v>4</v>
      </c>
      <c r="E47" s="52">
        <v>4036</v>
      </c>
      <c r="F47" s="52">
        <v>32</v>
      </c>
    </row>
    <row r="48" spans="1:6" x14ac:dyDescent="0.2">
      <c r="A48" s="10" t="s">
        <v>94</v>
      </c>
      <c r="B48" s="52">
        <v>3574</v>
      </c>
      <c r="C48" s="52">
        <v>3567</v>
      </c>
      <c r="D48" s="52">
        <v>7</v>
      </c>
      <c r="E48" s="52">
        <v>3534</v>
      </c>
      <c r="F48" s="52">
        <v>40</v>
      </c>
    </row>
    <row r="49" spans="1:7" x14ac:dyDescent="0.2">
      <c r="A49" s="10" t="s">
        <v>95</v>
      </c>
      <c r="B49" s="52">
        <v>3465</v>
      </c>
      <c r="C49" s="52">
        <v>3459</v>
      </c>
      <c r="D49" s="52">
        <v>6</v>
      </c>
      <c r="E49" s="52">
        <v>3429</v>
      </c>
      <c r="F49" s="52">
        <v>36</v>
      </c>
    </row>
    <row r="50" spans="1:7" x14ac:dyDescent="0.2">
      <c r="A50" s="10" t="s">
        <v>96</v>
      </c>
      <c r="B50" s="52">
        <v>3070</v>
      </c>
      <c r="C50" s="52">
        <v>3063</v>
      </c>
      <c r="D50" s="52">
        <v>7</v>
      </c>
      <c r="E50" s="52">
        <v>3019</v>
      </c>
      <c r="F50" s="52">
        <v>51</v>
      </c>
    </row>
    <row r="51" spans="1:7" x14ac:dyDescent="0.2">
      <c r="A51" s="10" t="s">
        <v>97</v>
      </c>
      <c r="B51" s="52">
        <v>2561</v>
      </c>
      <c r="C51" s="52">
        <v>2556</v>
      </c>
      <c r="D51" s="52">
        <v>5</v>
      </c>
      <c r="E51" s="52">
        <v>2518</v>
      </c>
      <c r="F51" s="52">
        <v>43</v>
      </c>
    </row>
    <row r="52" spans="1:7" x14ac:dyDescent="0.2">
      <c r="A52" s="10" t="s">
        <v>98</v>
      </c>
      <c r="B52" s="52">
        <v>4489</v>
      </c>
      <c r="C52" s="52">
        <v>4484</v>
      </c>
      <c r="D52" s="52">
        <v>5</v>
      </c>
      <c r="E52" s="52">
        <v>4457</v>
      </c>
      <c r="F52" s="52">
        <v>32</v>
      </c>
    </row>
    <row r="54" spans="1:7" x14ac:dyDescent="0.2">
      <c r="A54" s="62" t="s">
        <v>353</v>
      </c>
      <c r="B54" s="54"/>
      <c r="C54" s="54"/>
      <c r="D54" s="54"/>
      <c r="E54" s="54"/>
      <c r="F54" s="54"/>
      <c r="G54" s="54"/>
    </row>
    <row r="55" spans="1:7" x14ac:dyDescent="0.2">
      <c r="A55" t="s">
        <v>354</v>
      </c>
      <c r="B55">
        <v>61</v>
      </c>
    </row>
    <row r="56" spans="1:7" x14ac:dyDescent="0.2">
      <c r="A56" t="s">
        <v>355</v>
      </c>
      <c r="B56" s="2">
        <v>3.5722499999999999</v>
      </c>
    </row>
    <row r="59" spans="1:7" x14ac:dyDescent="0.2">
      <c r="A59" s="62" t="s">
        <v>356</v>
      </c>
      <c r="B59" s="54"/>
      <c r="C59" s="54"/>
      <c r="D59" s="54"/>
      <c r="E59" s="54"/>
      <c r="F59" s="54"/>
      <c r="G59" s="54"/>
    </row>
    <row r="60" spans="1:7" ht="16" x14ac:dyDescent="0.2">
      <c r="A60" s="1" t="s">
        <v>357</v>
      </c>
      <c r="B60" s="1" t="s">
        <v>358</v>
      </c>
      <c r="C60" s="1" t="s">
        <v>359</v>
      </c>
      <c r="D60" s="1" t="s">
        <v>360</v>
      </c>
      <c r="E60" s="1" t="s">
        <v>361</v>
      </c>
      <c r="F60" s="1" t="s">
        <v>362</v>
      </c>
    </row>
    <row r="61" spans="1:7" x14ac:dyDescent="0.2">
      <c r="A61" s="52">
        <v>145558</v>
      </c>
      <c r="B61" s="21">
        <v>45665</v>
      </c>
      <c r="C61" s="19">
        <v>138.39496</v>
      </c>
      <c r="D61" s="10" t="s">
        <v>146</v>
      </c>
      <c r="E61" s="10" t="s">
        <v>146</v>
      </c>
      <c r="F61" s="10"/>
    </row>
    <row r="62" spans="1:7" x14ac:dyDescent="0.2">
      <c r="A62" s="52">
        <v>157547</v>
      </c>
      <c r="B62" s="21">
        <v>45817</v>
      </c>
      <c r="C62" s="19">
        <v>105.4323</v>
      </c>
      <c r="D62" s="10" t="s">
        <v>145</v>
      </c>
      <c r="E62" s="10" t="s">
        <v>145</v>
      </c>
      <c r="F62" s="10"/>
    </row>
    <row r="63" spans="1:7" x14ac:dyDescent="0.2">
      <c r="A63" s="52">
        <v>142407</v>
      </c>
      <c r="B63" s="21">
        <v>45635.471574074072</v>
      </c>
      <c r="C63" s="19">
        <v>100.42931</v>
      </c>
      <c r="D63" s="10" t="s">
        <v>145</v>
      </c>
      <c r="E63" s="10" t="s">
        <v>146</v>
      </c>
      <c r="F63" s="10"/>
    </row>
    <row r="64" spans="1:7" x14ac:dyDescent="0.2">
      <c r="A64" s="52">
        <v>100704</v>
      </c>
      <c r="B64" s="21">
        <v>45304.683472222219</v>
      </c>
      <c r="C64" s="19">
        <v>94.450238990000003</v>
      </c>
      <c r="D64" s="10" t="s">
        <v>145</v>
      </c>
      <c r="E64" s="10" t="s">
        <v>146</v>
      </c>
      <c r="F64" s="10"/>
    </row>
    <row r="65" spans="1:6" x14ac:dyDescent="0.2">
      <c r="A65" s="52">
        <v>195438</v>
      </c>
      <c r="B65" s="21">
        <v>46054</v>
      </c>
      <c r="C65" s="19">
        <v>89.062200000000004</v>
      </c>
      <c r="D65" s="10" t="s">
        <v>145</v>
      </c>
      <c r="E65" s="10" t="s">
        <v>145</v>
      </c>
      <c r="F65" s="10"/>
    </row>
    <row r="66" spans="1:6" x14ac:dyDescent="0.2">
      <c r="A66" s="52">
        <v>177941</v>
      </c>
      <c r="B66" s="21">
        <v>45924</v>
      </c>
      <c r="C66" s="19">
        <v>87.181650000000005</v>
      </c>
      <c r="D66" s="10" t="s">
        <v>145</v>
      </c>
      <c r="E66" s="10" t="s">
        <v>145</v>
      </c>
      <c r="F66" s="10"/>
    </row>
    <row r="67" spans="1:6" x14ac:dyDescent="0.2">
      <c r="A67" s="52">
        <v>115571</v>
      </c>
      <c r="B67" s="21">
        <v>45422</v>
      </c>
      <c r="C67" s="19">
        <v>77.587999999999994</v>
      </c>
      <c r="D67" s="10" t="s">
        <v>145</v>
      </c>
      <c r="E67" s="10" t="s">
        <v>145</v>
      </c>
      <c r="F67" s="10"/>
    </row>
    <row r="68" spans="1:6" x14ac:dyDescent="0.2">
      <c r="A68" s="52">
        <v>134010</v>
      </c>
      <c r="B68" s="21">
        <v>45569</v>
      </c>
      <c r="C68" s="19">
        <v>70.399039999999999</v>
      </c>
      <c r="D68" s="10" t="s">
        <v>146</v>
      </c>
      <c r="E68" s="10" t="s">
        <v>146</v>
      </c>
      <c r="F68" s="10"/>
    </row>
    <row r="69" spans="1:6" x14ac:dyDescent="0.2">
      <c r="A69" s="52">
        <v>142406</v>
      </c>
      <c r="B69" s="21">
        <v>45635</v>
      </c>
      <c r="C69" s="19">
        <v>67.853120000000004</v>
      </c>
      <c r="D69" s="10" t="s">
        <v>146</v>
      </c>
      <c r="E69" s="10" t="s">
        <v>146</v>
      </c>
      <c r="F69" s="10"/>
    </row>
    <row r="70" spans="1:6" x14ac:dyDescent="0.2">
      <c r="A70" s="52">
        <v>184795</v>
      </c>
      <c r="B70" s="21">
        <v>45967</v>
      </c>
      <c r="C70" s="19">
        <v>66.397049999999993</v>
      </c>
      <c r="D70" s="10" t="s">
        <v>145</v>
      </c>
      <c r="E70" s="10" t="s">
        <v>145</v>
      </c>
      <c r="F70" s="10"/>
    </row>
    <row r="71" spans="1:6" x14ac:dyDescent="0.2">
      <c r="A71" s="52">
        <v>120506</v>
      </c>
      <c r="B71" s="21">
        <v>45463.8046412037</v>
      </c>
      <c r="C71" s="19">
        <v>62.627429999999997</v>
      </c>
      <c r="D71" s="10" t="s">
        <v>146</v>
      </c>
      <c r="E71" s="10" t="s">
        <v>145</v>
      </c>
      <c r="F71" s="10"/>
    </row>
    <row r="72" spans="1:6" x14ac:dyDescent="0.2">
      <c r="A72" s="52">
        <v>115572</v>
      </c>
      <c r="B72" s="21">
        <v>45422.733576388891</v>
      </c>
      <c r="C72" s="19">
        <v>61.509920000000001</v>
      </c>
      <c r="D72" s="10" t="s">
        <v>146</v>
      </c>
      <c r="E72" s="10" t="s">
        <v>145</v>
      </c>
      <c r="F72" s="10"/>
    </row>
    <row r="73" spans="1:6" x14ac:dyDescent="0.2">
      <c r="A73" s="52">
        <v>122833</v>
      </c>
      <c r="B73" s="21">
        <v>45477.703483796293</v>
      </c>
      <c r="C73" s="19">
        <v>58.619340000000001</v>
      </c>
      <c r="D73" s="10" t="s">
        <v>146</v>
      </c>
      <c r="E73" s="10" t="s">
        <v>145</v>
      </c>
      <c r="F73" s="10"/>
    </row>
    <row r="74" spans="1:6" x14ac:dyDescent="0.2">
      <c r="A74" s="52">
        <v>177938</v>
      </c>
      <c r="B74" s="21">
        <v>45924.972233796303</v>
      </c>
      <c r="C74" s="19">
        <v>58.383685200000002</v>
      </c>
      <c r="D74" s="10" t="s">
        <v>146</v>
      </c>
      <c r="E74" s="10" t="s">
        <v>145</v>
      </c>
      <c r="F74" s="10"/>
    </row>
    <row r="75" spans="1:6" x14ac:dyDescent="0.2">
      <c r="A75" s="52">
        <v>77617</v>
      </c>
      <c r="B75" s="21">
        <v>45098</v>
      </c>
      <c r="C75" s="19">
        <v>57.502160000000003</v>
      </c>
      <c r="D75" s="10" t="s">
        <v>145</v>
      </c>
      <c r="E75" s="10" t="s">
        <v>145</v>
      </c>
      <c r="F75" s="10"/>
    </row>
    <row r="76" spans="1:6" x14ac:dyDescent="0.2">
      <c r="A76" s="52">
        <v>138530</v>
      </c>
      <c r="B76" s="21">
        <v>45612.430520833332</v>
      </c>
      <c r="C76" s="19">
        <v>56.561</v>
      </c>
      <c r="D76" s="10" t="s">
        <v>363</v>
      </c>
      <c r="E76" s="10" t="s">
        <v>146</v>
      </c>
      <c r="F76" s="10"/>
    </row>
    <row r="77" spans="1:6" x14ac:dyDescent="0.2">
      <c r="A77" s="52">
        <v>138528</v>
      </c>
      <c r="B77" s="21">
        <v>45612.4294212963</v>
      </c>
      <c r="C77" s="19">
        <v>56.561</v>
      </c>
      <c r="D77" s="10" t="s">
        <v>146</v>
      </c>
      <c r="E77" s="10" t="s">
        <v>364</v>
      </c>
      <c r="F77" s="10"/>
    </row>
    <row r="78" spans="1:6" x14ac:dyDescent="0.2">
      <c r="A78" s="52">
        <v>195440</v>
      </c>
      <c r="B78" s="21">
        <v>46054.488310185188</v>
      </c>
      <c r="C78" s="19">
        <v>52.296599999999998</v>
      </c>
      <c r="D78" s="10" t="s">
        <v>150</v>
      </c>
      <c r="E78" s="10" t="s">
        <v>145</v>
      </c>
      <c r="F78" s="10"/>
    </row>
    <row r="79" spans="1:6" x14ac:dyDescent="0.2">
      <c r="A79" s="52">
        <v>134025</v>
      </c>
      <c r="B79" s="21">
        <v>45569.918564814812</v>
      </c>
      <c r="C79" s="19">
        <v>50</v>
      </c>
      <c r="D79" s="10" t="s">
        <v>365</v>
      </c>
      <c r="E79" s="10" t="s">
        <v>146</v>
      </c>
      <c r="F79" s="10"/>
    </row>
    <row r="80" spans="1:6" x14ac:dyDescent="0.2">
      <c r="A80" s="52">
        <v>104780</v>
      </c>
      <c r="B80" s="21">
        <v>45341</v>
      </c>
      <c r="C80" s="19">
        <v>48.73424</v>
      </c>
      <c r="D80" s="10" t="s">
        <v>146</v>
      </c>
      <c r="E80" s="10" t="s">
        <v>146</v>
      </c>
      <c r="F80" s="10"/>
    </row>
  </sheetData>
  <mergeCells count="4">
    <mergeCell ref="A3:G3"/>
    <mergeCell ref="A54:G54"/>
    <mergeCell ref="A1:G1"/>
    <mergeCell ref="A59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١. ملخص تنفيذي</vt:lpstr>
      <vt:lpstr>٢. التدفق الشهري</vt:lpstr>
      <vt:lpstr>٣. التدفق التشغيلي</vt:lpstr>
      <vt:lpstr>٤. تفصيل المقبوضات</vt:lpstr>
      <vt:lpstr>٥. تفصيل المصروفات</vt:lpstr>
      <vt:lpstr>٦. الموردون شهري</vt:lpstr>
      <vt:lpstr>٧. الأرصدة الحالية</vt:lpstr>
      <vt:lpstr>٨. الأقساط المفتوحة</vt:lpstr>
      <vt:lpstr>٩. النمط الموسمي</vt:lpstr>
      <vt:lpstr>١٠. اختبار صحة التنبؤ</vt:lpstr>
      <vt:lpstr>١١. تنبيهات السيولة</vt:lpstr>
      <vt:lpstr>١١ب توزيع موردين تنبؤي</vt:lpstr>
      <vt:lpstr>١٣ خطة السداد المتوقعة</vt:lpstr>
      <vt:lpstr>١١ج نظرة شاملة</vt:lpstr>
      <vt:lpstr>١٤ خطة السداد</vt:lpstr>
      <vt:lpstr>١٢. التحقق المحاسبي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Kwan</cp:lastModifiedBy>
  <dcterms:created xsi:type="dcterms:W3CDTF">2026-05-13T17:13:18Z</dcterms:created>
  <dcterms:modified xsi:type="dcterms:W3CDTF">2026-05-14T14:08:08Z</dcterms:modified>
</cp:coreProperties>
</file>